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000" windowHeight="8400" tabRatio="500" activeTab="3"/>
  </bookViews>
  <sheets>
    <sheet name="Task Brief" sheetId="1" r:id="rId1"/>
    <sheet name="Applications" sheetId="2" r:id="rId2"/>
    <sheet name="Data Dictionary" sheetId="3" r:id="rId3"/>
    <sheet name="AI Use Log" sheetId="4" r:id="rId4"/>
    <sheet name="EMI_Calculations" sheetId="5" r:id="rId5"/>
    <sheet name="Rule_Testing" sheetId="6" r:id="rId6"/>
    <sheet name="Verification" sheetId="7" r:id="rId7"/>
    <sheet name="Rule_Comparison" sheetId="8" r:id="rId8"/>
    <sheet name="App_Testing" sheetId="9" r:id="rId9"/>
    <sheet name="Dashboard" sheetId="10" r:id="rId10"/>
    <sheet name="Policy_Summary" sheetId="11" r:id="rId11"/>
  </sheets>
  <definedNames>
    <definedName name="_xlnm._FilterDatabase" localSheetId="1" hidden="1">Applications!$A$1:$Q$501</definedName>
    <definedName name="_xlnm._FilterDatabase" localSheetId="2" hidden="1">'Data Dictionary'!$A$1:$F$18</definedName>
    <definedName name="_xlnm._FilterDatabase" localSheetId="3" hidden="1">'AI Use Log'!$A$1:$J$28</definedName>
    <definedName name="_xlnm._FilterDatabase" localSheetId="4" hidden="1">EMI_Calculations!$A$1:$O$501</definedName>
    <definedName name="_xlnm._FilterDatabase" localSheetId="5" hidden="1">Rule_Testing!$A$1:$P$501</definedName>
    <definedName name="_xlnm._FilterDatabase" localSheetId="6" hidden="1">Verification!$A$1:$M$27</definedName>
    <definedName name="_xlnm._FilterDatabase" localSheetId="7" hidden="1">Rule_Comparison!$A$1:$N$26</definedName>
    <definedName name="_xlnm._FilterDatabase" localSheetId="8" hidden="1">App_Testing!$A$1:$K$11</definedName>
    <definedName name="_xlnm._FilterDatabase" localSheetId="10" hidden="1">Policy_Summary!$A$1:$B$11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<sst xmlns="http://schemas.openxmlformats.org/spreadsheetml/2006/main" count="8057" uniqueCount="1294">
  <si>
    <t>T04  Loan EMI and eligibility calculator</t>
  </si>
  <si>
    <t>Mini project | 30 marks | Build something with free LLM tools</t>
  </si>
  <si>
    <t>Task ID</t>
  </si>
  <si>
    <t>T04</t>
  </si>
  <si>
    <t>Task</t>
  </si>
  <si>
    <t>Loan EMI and eligibility calculator</t>
  </si>
  <si>
    <t>Theme</t>
  </si>
  <si>
    <t>No-code apps &amp; dashboards</t>
  </si>
  <si>
    <t>Suggested free tools</t>
  </si>
  <si>
    <t>Gemini Canvas, ChatGPT Canvas or Claude (free) to generate the app; Excel / Google Sheets to verify numbers</t>
  </si>
  <si>
    <t>What students do</t>
  </si>
  <si>
    <t>1. Build a calculator for EMI and FOIR (EMIs as % of income) with an eligibility rule (FOIR &lt;= 50%, credit score &gt;= 700).
2. Run all 500 applications through your rule and compare with the actual default flag.
3. Tune the rule to reduce defaults without rejecting too many good applicants.
4. Explain the trade-off to a credit manager.</t>
  </si>
  <si>
    <t>Deliverables</t>
  </si>
  <si>
    <t>Calculator app; rule-testing sheet; 1-page credit policy note; AI-use log</t>
  </si>
  <si>
    <t>Dataset in this file</t>
  </si>
  <si>
    <t>500 loan applications with income, EMIs, credit score and 24-month default outcome
- 'Applications' sheet: 500 rows x 17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</si>
  <si>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</si>
  <si>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</si>
  <si>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</si>
  <si>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</si>
  <si>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</si>
  <si>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</si>
  <si>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</si>
  <si>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</si>
  <si>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</si>
  <si>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</si>
  <si>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</si>
  <si>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</si>
  <si>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</si>
  <si>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</si>
  <si>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</si>
  <si>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</si>
  <si>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</si>
  <si>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</si>
  <si>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</si>
  <si>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</si>
  <si>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</si>
  <si>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</si>
  <si>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</si>
  <si>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</si>
  <si>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</si>
  <si>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</si>
  <si>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</si>
  <si>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</si>
  <si>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</si>
  <si>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</si>
  <si>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</si>
  <si>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</si>
  <si>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</si>
  <si>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</si>
  <si>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</si>
  <si>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</si>
  <si>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</si>
  <si>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</si>
  <si>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</si>
  <si>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</si>
  <si>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</si>
  <si>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</si>
  <si>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</si>
  <si>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</si>
  <si>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</si>
  <si>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</si>
  <si>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application_id</t>
  </si>
  <si>
    <t>applicant_name</t>
  </si>
  <si>
    <t>gender</t>
  </si>
  <si>
    <t>age</t>
  </si>
  <si>
    <t>city</t>
  </si>
  <si>
    <t>city_tier</t>
  </si>
  <si>
    <t>employment_type</t>
  </si>
  <si>
    <t>monthly_income_inr</t>
  </si>
  <si>
    <t>existing_emi_inr</t>
  </si>
  <si>
    <t>credit_score</t>
  </si>
  <si>
    <t>loan_purpose</t>
  </si>
  <si>
    <t>loan_amount_inr</t>
  </si>
  <si>
    <t>tenure_months</t>
  </si>
  <si>
    <t>interest_rate_pct</t>
  </si>
  <si>
    <t>years_in_current_job</t>
  </si>
  <si>
    <t>dependents</t>
  </si>
  <si>
    <t>defaulted_within_24m</t>
  </si>
  <si>
    <t>LA00001</t>
  </si>
  <si>
    <t>Vikram Kulkarni</t>
  </si>
  <si>
    <t>Male</t>
  </si>
  <si>
    <t>Surat</t>
  </si>
  <si>
    <t>Salaried - Private</t>
  </si>
  <si>
    <t>Education</t>
  </si>
  <si>
    <t>No</t>
  </si>
  <si>
    <t>LA00002</t>
  </si>
  <si>
    <t>Rohan Pillai</t>
  </si>
  <si>
    <t>Guwahati</t>
  </si>
  <si>
    <t>Self-employed Business</t>
  </si>
  <si>
    <t>Car</t>
  </si>
  <si>
    <t>Yes</t>
  </si>
  <si>
    <t>LA00003</t>
  </si>
  <si>
    <t>Sandeep Patil</t>
  </si>
  <si>
    <t>Ahmedabad</t>
  </si>
  <si>
    <t>Business</t>
  </si>
  <si>
    <t>LA00004</t>
  </si>
  <si>
    <t>Omkar Menon</t>
  </si>
  <si>
    <t>Bhubaneswar</t>
  </si>
  <si>
    <t>LA00005</t>
  </si>
  <si>
    <t>Imran Patil</t>
  </si>
  <si>
    <t>LA00006</t>
  </si>
  <si>
    <t>Rahul Pawar</t>
  </si>
  <si>
    <t>Self-employed Professional</t>
  </si>
  <si>
    <t>LA00007</t>
  </si>
  <si>
    <t>Imran Jadhav</t>
  </si>
  <si>
    <t>Nashik</t>
  </si>
  <si>
    <t>LA00008</t>
  </si>
  <si>
    <t>Mary Patil</t>
  </si>
  <si>
    <t>Female</t>
  </si>
  <si>
    <t>Delhi</t>
  </si>
  <si>
    <t>LA00009</t>
  </si>
  <si>
    <t>Siddharth Das</t>
  </si>
  <si>
    <t>LA00010</t>
  </si>
  <si>
    <t>Aditi Jadhav</t>
  </si>
  <si>
    <t>Coimbatore</t>
  </si>
  <si>
    <t>Salaried - Government</t>
  </si>
  <si>
    <t>LA00011</t>
  </si>
  <si>
    <t>Zoya Mishra</t>
  </si>
  <si>
    <t>Home Renovation</t>
  </si>
  <si>
    <t>LA00012</t>
  </si>
  <si>
    <t>Sandeep Pawar</t>
  </si>
  <si>
    <t>Nagpur</t>
  </si>
  <si>
    <t>LA00013</t>
  </si>
  <si>
    <t>Fatima Mishra</t>
  </si>
  <si>
    <t>Home</t>
  </si>
  <si>
    <t>LA00014</t>
  </si>
  <si>
    <t>Kavya Das</t>
  </si>
  <si>
    <t>Lucknow</t>
  </si>
  <si>
    <t>LA00015</t>
  </si>
  <si>
    <t>Fatima Shinde</t>
  </si>
  <si>
    <t>Personal</t>
  </si>
  <si>
    <t>LA00016</t>
  </si>
  <si>
    <t>Vikram Reddy</t>
  </si>
  <si>
    <t>LA00017</t>
  </si>
  <si>
    <t>Vivaan Joshi</t>
  </si>
  <si>
    <t>LA00018</t>
  </si>
  <si>
    <t>Gurpreet Pawar</t>
  </si>
  <si>
    <t>Pune</t>
  </si>
  <si>
    <t>LA00019</t>
  </si>
  <si>
    <t>Mary Iyer</t>
  </si>
  <si>
    <t>LA00020</t>
  </si>
  <si>
    <t>Shreya Mukherjee</t>
  </si>
  <si>
    <t>LA00021</t>
  </si>
  <si>
    <t>Farhan Sharma</t>
  </si>
  <si>
    <t>LA00022</t>
  </si>
  <si>
    <t>Yash Mukherjee</t>
  </si>
  <si>
    <t>LA00023</t>
  </si>
  <si>
    <t>Joseph Rao</t>
  </si>
  <si>
    <t>Mumbai</t>
  </si>
  <si>
    <t>LA00024</t>
  </si>
  <si>
    <t>Aditya Rao</t>
  </si>
  <si>
    <t>Hyderabad</t>
  </si>
  <si>
    <t>LA00025</t>
  </si>
  <si>
    <t>Meera Jadhav</t>
  </si>
  <si>
    <t>LA00026</t>
  </si>
  <si>
    <t>Vikram Das</t>
  </si>
  <si>
    <t>Kochi</t>
  </si>
  <si>
    <t>LA00027</t>
  </si>
  <si>
    <t>Suresh Joshi</t>
  </si>
  <si>
    <t>LA00028</t>
  </si>
  <si>
    <t>Fatima Mukherjee</t>
  </si>
  <si>
    <t>Bengaluru</t>
  </si>
  <si>
    <t>LA00029</t>
  </si>
  <si>
    <t>Joseph Deshmukh</t>
  </si>
  <si>
    <t>LA00030</t>
  </si>
  <si>
    <t>Sandeep Deshmukh</t>
  </si>
  <si>
    <t>LA00031</t>
  </si>
  <si>
    <t>Harpreet Chatterjee</t>
  </si>
  <si>
    <t>Patna</t>
  </si>
  <si>
    <t>LA00032</t>
  </si>
  <si>
    <t>Fatima Shah</t>
  </si>
  <si>
    <t>Indore</t>
  </si>
  <si>
    <t>LA00033</t>
  </si>
  <si>
    <t>Aisha Khan</t>
  </si>
  <si>
    <t>LA00034</t>
  </si>
  <si>
    <t>Lakshmi Mukherjee</t>
  </si>
  <si>
    <t>LA00035</t>
  </si>
  <si>
    <t>Harleen Joshi</t>
  </si>
  <si>
    <t>Chandigarh</t>
  </si>
  <si>
    <t>LA00036</t>
  </si>
  <si>
    <t>Imran Chatterjee</t>
  </si>
  <si>
    <t>Kolkata</t>
  </si>
  <si>
    <t>LA00037</t>
  </si>
  <si>
    <t>Pooja Khan</t>
  </si>
  <si>
    <t>LA00038</t>
  </si>
  <si>
    <t>Aditi Verma</t>
  </si>
  <si>
    <t>LA00039</t>
  </si>
  <si>
    <t>Tushar Gupta</t>
  </si>
  <si>
    <t>LA00040</t>
  </si>
  <si>
    <t>Arjun Reddy</t>
  </si>
  <si>
    <t>LA00041</t>
  </si>
  <si>
    <t>Zoya Nair</t>
  </si>
  <si>
    <t>LA00042</t>
  </si>
  <si>
    <t>Gauri Deshmukh</t>
  </si>
  <si>
    <t>LA00043</t>
  </si>
  <si>
    <t>LA00044</t>
  </si>
  <si>
    <t>Deepak Shah</t>
  </si>
  <si>
    <t>LA00045</t>
  </si>
  <si>
    <t>Aditi Sharma</t>
  </si>
  <si>
    <t>LA00046</t>
  </si>
  <si>
    <t>Deepak Banerjee</t>
  </si>
  <si>
    <t>LA00047</t>
  </si>
  <si>
    <t>Divya Shinde</t>
  </si>
  <si>
    <t>LA00048</t>
  </si>
  <si>
    <t>Meera Shah</t>
  </si>
  <si>
    <t>LA00049</t>
  </si>
  <si>
    <t>Deepak Jadhav</t>
  </si>
  <si>
    <t>LA00050</t>
  </si>
  <si>
    <t>Rohan Jadhav</t>
  </si>
  <si>
    <t>LA00051</t>
  </si>
  <si>
    <t>Aarav Gupta</t>
  </si>
  <si>
    <t>LA00052</t>
  </si>
  <si>
    <t>Sakshi Nair</t>
  </si>
  <si>
    <t>Jaipur</t>
  </si>
  <si>
    <t>LA00053</t>
  </si>
  <si>
    <t>Imran Shinde</t>
  </si>
  <si>
    <t>LA00054</t>
  </si>
  <si>
    <t>Sneha Menon</t>
  </si>
  <si>
    <t>LA00055</t>
  </si>
  <si>
    <t>Riya D'Souza</t>
  </si>
  <si>
    <t>LA00056</t>
  </si>
  <si>
    <t>Imran Gupta</t>
  </si>
  <si>
    <t>LA00057</t>
  </si>
  <si>
    <t>Rahul Banerjee</t>
  </si>
  <si>
    <t>LA00058</t>
  </si>
  <si>
    <t>Aisha Menon</t>
  </si>
  <si>
    <t>LA00059</t>
  </si>
  <si>
    <t>Anil D'Souza</t>
  </si>
  <si>
    <t>LA00060</t>
  </si>
  <si>
    <t>Varun Menon</t>
  </si>
  <si>
    <t>LA00061</t>
  </si>
  <si>
    <t>Pallavi Verma</t>
  </si>
  <si>
    <t>LA00062</t>
  </si>
  <si>
    <t>Gauri Gupta</t>
  </si>
  <si>
    <t>LA00063</t>
  </si>
  <si>
    <t>Thomas Desai</t>
  </si>
  <si>
    <t>Chennai</t>
  </si>
  <si>
    <t>LA00064</t>
  </si>
  <si>
    <t>Aisha Kaur</t>
  </si>
  <si>
    <t>LA00065</t>
  </si>
  <si>
    <t>Fatima Reddy</t>
  </si>
  <si>
    <t>LA00066</t>
  </si>
  <si>
    <t>Kavya Menon</t>
  </si>
  <si>
    <t>LA00067</t>
  </si>
  <si>
    <t>Gurpreet Kulkarni</t>
  </si>
  <si>
    <t>LA00068</t>
  </si>
  <si>
    <t>Gurpreet Kaur</t>
  </si>
  <si>
    <t>LA00069</t>
  </si>
  <si>
    <t>Kavya Deshmukh</t>
  </si>
  <si>
    <t>LA00070</t>
  </si>
  <si>
    <t>LA00071</t>
  </si>
  <si>
    <t>Neha Mehta</t>
  </si>
  <si>
    <t>LA00072</t>
  </si>
  <si>
    <t>Sneha Verma</t>
  </si>
  <si>
    <t>LA00073</t>
  </si>
  <si>
    <t>Siddharth Rao</t>
  </si>
  <si>
    <t>LA00074</t>
  </si>
  <si>
    <t>Isha Gupta</t>
  </si>
  <si>
    <t>LA00075</t>
  </si>
  <si>
    <t>Rahul Chatterjee</t>
  </si>
  <si>
    <t>LA00076</t>
  </si>
  <si>
    <t>Gurpreet Verma</t>
  </si>
  <si>
    <t>LA00077</t>
  </si>
  <si>
    <t>Tanvi Desai</t>
  </si>
  <si>
    <t>LA00078</t>
  </si>
  <si>
    <t>Mary Nair</t>
  </si>
  <si>
    <t>LA00079</t>
  </si>
  <si>
    <t>Manish Pillai</t>
  </si>
  <si>
    <t>LA00080</t>
  </si>
  <si>
    <t>Pranav Mehta</t>
  </si>
  <si>
    <t>LA00081</t>
  </si>
  <si>
    <t>Deepak D'Souza</t>
  </si>
  <si>
    <t>LA00082</t>
  </si>
  <si>
    <t>LA00083</t>
  </si>
  <si>
    <t>Shreya Das</t>
  </si>
  <si>
    <t>LA00084</t>
  </si>
  <si>
    <t>Anjali Desai</t>
  </si>
  <si>
    <t>LA00085</t>
  </si>
  <si>
    <t>LA00086</t>
  </si>
  <si>
    <t>Imran Khan</t>
  </si>
  <si>
    <t>LA00087</t>
  </si>
  <si>
    <t>Pranav Shinde</t>
  </si>
  <si>
    <t>LA00088</t>
  </si>
  <si>
    <t>Anil Shah</t>
  </si>
  <si>
    <t>LA00089</t>
  </si>
  <si>
    <t>Swati Pawar</t>
  </si>
  <si>
    <t>LA00090</t>
  </si>
  <si>
    <t>Manish Pawar</t>
  </si>
  <si>
    <t>LA00091</t>
  </si>
  <si>
    <t>Swati Gupta</t>
  </si>
  <si>
    <t>LA00092</t>
  </si>
  <si>
    <t>Gauri Singh</t>
  </si>
  <si>
    <t>LA00093</t>
  </si>
  <si>
    <t>Anil Pillai</t>
  </si>
  <si>
    <t>LA00094</t>
  </si>
  <si>
    <t>Harpreet Kulkarni</t>
  </si>
  <si>
    <t>LA00095</t>
  </si>
  <si>
    <t>Divya Deshmukh</t>
  </si>
  <si>
    <t>LA00096</t>
  </si>
  <si>
    <t>Ritu Joshi</t>
  </si>
  <si>
    <t>LA00097</t>
  </si>
  <si>
    <t>Swati Mukherjee</t>
  </si>
  <si>
    <t>LA00098</t>
  </si>
  <si>
    <t>Sneha Shah</t>
  </si>
  <si>
    <t>LA00099</t>
  </si>
  <si>
    <t>Ananya Kaur</t>
  </si>
  <si>
    <t>LA00100</t>
  </si>
  <si>
    <t>Omkar Jadhav</t>
  </si>
  <si>
    <t>LA00101</t>
  </si>
  <si>
    <t>Rahul Verma</t>
  </si>
  <si>
    <t>LA00102</t>
  </si>
  <si>
    <t>Suresh Desai</t>
  </si>
  <si>
    <t>LA00103</t>
  </si>
  <si>
    <t>Tushar Kulkarni</t>
  </si>
  <si>
    <t>LA00104</t>
  </si>
  <si>
    <t>LA00105</t>
  </si>
  <si>
    <t>Vikram Shinde</t>
  </si>
  <si>
    <t>LA00106</t>
  </si>
  <si>
    <t>Rajesh Patil</t>
  </si>
  <si>
    <t>LA00107</t>
  </si>
  <si>
    <t>Gurpreet Reddy</t>
  </si>
  <si>
    <t>LA00108</t>
  </si>
  <si>
    <t>Aditya Patil</t>
  </si>
  <si>
    <t>LA00109</t>
  </si>
  <si>
    <t>Harpreet Gupta</t>
  </si>
  <si>
    <t>LA00110</t>
  </si>
  <si>
    <t>LA00111</t>
  </si>
  <si>
    <t>Sneha Reddy</t>
  </si>
  <si>
    <t>LA00112</t>
  </si>
  <si>
    <t>Deepika Kulkarni</t>
  </si>
  <si>
    <t>LA00113</t>
  </si>
  <si>
    <t>Ananya Pawar</t>
  </si>
  <si>
    <t>LA00114</t>
  </si>
  <si>
    <t>Farhan Agarwal</t>
  </si>
  <si>
    <t>LA00115</t>
  </si>
  <si>
    <t>LA00116</t>
  </si>
  <si>
    <t>Arjun Nair</t>
  </si>
  <si>
    <t>LA00117</t>
  </si>
  <si>
    <t>Manish Jadhav</t>
  </si>
  <si>
    <t>LA00118</t>
  </si>
  <si>
    <t>LA00119</t>
  </si>
  <si>
    <t>Harpreet Mishra</t>
  </si>
  <si>
    <t>LA00120</t>
  </si>
  <si>
    <t>LA00121</t>
  </si>
  <si>
    <t>Pooja D'Souza</t>
  </si>
  <si>
    <t>LA00122</t>
  </si>
  <si>
    <t>Tushar Verma</t>
  </si>
  <si>
    <t>LA00123</t>
  </si>
  <si>
    <t>Gurpreet Singh</t>
  </si>
  <si>
    <t>LA00124</t>
  </si>
  <si>
    <t>Ananya Shah</t>
  </si>
  <si>
    <t>LA00125</t>
  </si>
  <si>
    <t>Rahul Joshi</t>
  </si>
  <si>
    <t>LA00126</t>
  </si>
  <si>
    <t>Deepak Kaur</t>
  </si>
  <si>
    <t>LA00127</t>
  </si>
  <si>
    <t>Harsh Nair</t>
  </si>
  <si>
    <t>LA00128</t>
  </si>
  <si>
    <t>Harpreet Agarwal</t>
  </si>
  <si>
    <t>LA00129</t>
  </si>
  <si>
    <t>Zoya Joshi</t>
  </si>
  <si>
    <t>LA00130</t>
  </si>
  <si>
    <t>LA00131</t>
  </si>
  <si>
    <t>Anjali Shah</t>
  </si>
  <si>
    <t>LA00132</t>
  </si>
  <si>
    <t>Sandeep D'Souza</t>
  </si>
  <si>
    <t>LA00133</t>
  </si>
  <si>
    <t>Kavya Fernandes</t>
  </si>
  <si>
    <t>LA00134</t>
  </si>
  <si>
    <t>Aditya Pawar</t>
  </si>
  <si>
    <t>LA00135</t>
  </si>
  <si>
    <t>Meera Joshi</t>
  </si>
  <si>
    <t>LA00136</t>
  </si>
  <si>
    <t>Priya Mehta</t>
  </si>
  <si>
    <t>LA00137</t>
  </si>
  <si>
    <t>Sakshi Gupta</t>
  </si>
  <si>
    <t>LA00138</t>
  </si>
  <si>
    <t>Anil Mehta</t>
  </si>
  <si>
    <t>LA00139</t>
  </si>
  <si>
    <t>Pallavi Agarwal</t>
  </si>
  <si>
    <t>LA00140</t>
  </si>
  <si>
    <t>Varun Sharma</t>
  </si>
  <si>
    <t>LA00141</t>
  </si>
  <si>
    <t>Shreya Shinde</t>
  </si>
  <si>
    <t>LA00142</t>
  </si>
  <si>
    <t>Harpreet Verma</t>
  </si>
  <si>
    <t>LA00143</t>
  </si>
  <si>
    <t>Manish D'Souza</t>
  </si>
  <si>
    <t>LA00144</t>
  </si>
  <si>
    <t>Rahul Mukherjee</t>
  </si>
  <si>
    <t>LA00145</t>
  </si>
  <si>
    <t>Harleen Mukherjee</t>
  </si>
  <si>
    <t>LA00146</t>
  </si>
  <si>
    <t>LA00147</t>
  </si>
  <si>
    <t>Ishaan Kulkarni</t>
  </si>
  <si>
    <t>LA00148</t>
  </si>
  <si>
    <t>Pallavi Gupta</t>
  </si>
  <si>
    <t>LA00149</t>
  </si>
  <si>
    <t>Harsh Chatterjee</t>
  </si>
  <si>
    <t>LA00150</t>
  </si>
  <si>
    <t>LA00151</t>
  </si>
  <si>
    <t>Ritu Shah</t>
  </si>
  <si>
    <t>LA00152</t>
  </si>
  <si>
    <t>Siddharth Patil</t>
  </si>
  <si>
    <t>LA00153</t>
  </si>
  <si>
    <t>Anjali Jadhav</t>
  </si>
  <si>
    <t>LA00154</t>
  </si>
  <si>
    <t>Varun Desai</t>
  </si>
  <si>
    <t>LA00155</t>
  </si>
  <si>
    <t>Rahul Iyer</t>
  </si>
  <si>
    <t>LA00156</t>
  </si>
  <si>
    <t>Gauri Khan</t>
  </si>
  <si>
    <t>LA00157</t>
  </si>
  <si>
    <t>Riya Chatterjee</t>
  </si>
  <si>
    <t>LA00158</t>
  </si>
  <si>
    <t>Siddharth Khan</t>
  </si>
  <si>
    <t>LA00159</t>
  </si>
  <si>
    <t>Siddharth Mukherjee</t>
  </si>
  <si>
    <t>LA00160</t>
  </si>
  <si>
    <t>Arjun Agarwal</t>
  </si>
  <si>
    <t>LA00161</t>
  </si>
  <si>
    <t>Vikram Joshi</t>
  </si>
  <si>
    <t>LA00162</t>
  </si>
  <si>
    <t>Imran Iyer</t>
  </si>
  <si>
    <t>LA00163</t>
  </si>
  <si>
    <t>Karan Patil</t>
  </si>
  <si>
    <t>LA00164</t>
  </si>
  <si>
    <t>Deepika Gupta</t>
  </si>
  <si>
    <t>LA00165</t>
  </si>
  <si>
    <t>Rajesh Mukherjee</t>
  </si>
  <si>
    <t>LA00166</t>
  </si>
  <si>
    <t>Joseph Pillai</t>
  </si>
  <si>
    <t>LA00167</t>
  </si>
  <si>
    <t>Yash Verma</t>
  </si>
  <si>
    <t>LA00168</t>
  </si>
  <si>
    <t>Aditi Agarwal</t>
  </si>
  <si>
    <t>LA00169</t>
  </si>
  <si>
    <t>Joseph D'Souza</t>
  </si>
  <si>
    <t>LA00170</t>
  </si>
  <si>
    <t>Vikram Pillai</t>
  </si>
  <si>
    <t>LA00171</t>
  </si>
  <si>
    <t>Harpreet Singh</t>
  </si>
  <si>
    <t>LA00172</t>
  </si>
  <si>
    <t>Zoya Fernandes</t>
  </si>
  <si>
    <t>LA00173</t>
  </si>
  <si>
    <t>Mary Reddy</t>
  </si>
  <si>
    <t>LA00174</t>
  </si>
  <si>
    <t>Deepika Kaur</t>
  </si>
  <si>
    <t>LA00175</t>
  </si>
  <si>
    <t>Gauri Joshi</t>
  </si>
  <si>
    <t>LA00176</t>
  </si>
  <si>
    <t>Joseph Verma</t>
  </si>
  <si>
    <t>LA00177</t>
  </si>
  <si>
    <t>Thomas Pawar</t>
  </si>
  <si>
    <t>LA00178</t>
  </si>
  <si>
    <t>Neha Kulkarni</t>
  </si>
  <si>
    <t>LA00179</t>
  </si>
  <si>
    <t>LA00180</t>
  </si>
  <si>
    <t>LA00181</t>
  </si>
  <si>
    <t>Ananya Rao</t>
  </si>
  <si>
    <t>LA00182</t>
  </si>
  <si>
    <t>Harpreet Reddy</t>
  </si>
  <si>
    <t>LA00183</t>
  </si>
  <si>
    <t>Anil Fernandes</t>
  </si>
  <si>
    <t>LA00184</t>
  </si>
  <si>
    <t>Sneha Patil</t>
  </si>
  <si>
    <t>LA00185</t>
  </si>
  <si>
    <t>Siddharth Kaur</t>
  </si>
  <si>
    <t>LA00186</t>
  </si>
  <si>
    <t>Varun Deshmukh</t>
  </si>
  <si>
    <t>LA00187</t>
  </si>
  <si>
    <t>Divya Kaur</t>
  </si>
  <si>
    <t>LA00188</t>
  </si>
  <si>
    <t>Yash Joshi</t>
  </si>
  <si>
    <t>LA00189</t>
  </si>
  <si>
    <t>Mary Pillai</t>
  </si>
  <si>
    <t>LA00190</t>
  </si>
  <si>
    <t>Nisha Menon</t>
  </si>
  <si>
    <t>LA00191</t>
  </si>
  <si>
    <t>Pooja Pawar</t>
  </si>
  <si>
    <t>LA00192</t>
  </si>
  <si>
    <t>Pallavi Desai</t>
  </si>
  <si>
    <t>LA00193</t>
  </si>
  <si>
    <t>Suresh Menon</t>
  </si>
  <si>
    <t>LA00194</t>
  </si>
  <si>
    <t>Nisha Pawar</t>
  </si>
  <si>
    <t>LA00195</t>
  </si>
  <si>
    <t>Karan Singh</t>
  </si>
  <si>
    <t>LA00196</t>
  </si>
  <si>
    <t>Omkar Mehta</t>
  </si>
  <si>
    <t>LA00197</t>
  </si>
  <si>
    <t>Aarav Fernandes</t>
  </si>
  <si>
    <t>LA00198</t>
  </si>
  <si>
    <t>Aditi Iyer</t>
  </si>
  <si>
    <t>LA00199</t>
  </si>
  <si>
    <t>Tushar Rao</t>
  </si>
  <si>
    <t>LA00200</t>
  </si>
  <si>
    <t>Sandeep Mishra</t>
  </si>
  <si>
    <t>LA00201</t>
  </si>
  <si>
    <t>Priya Shah</t>
  </si>
  <si>
    <t>LA00202</t>
  </si>
  <si>
    <t>Aisha Nair</t>
  </si>
  <si>
    <t>LA00203</t>
  </si>
  <si>
    <t>Anil Mishra</t>
  </si>
  <si>
    <t>LA00204</t>
  </si>
  <si>
    <t>Omkar Deshmukh</t>
  </si>
  <si>
    <t>LA00205</t>
  </si>
  <si>
    <t>LA00206</t>
  </si>
  <si>
    <t>Isha Banerjee</t>
  </si>
  <si>
    <t>LA00207</t>
  </si>
  <si>
    <t>Tanvi Banerjee</t>
  </si>
  <si>
    <t>LA00208</t>
  </si>
  <si>
    <t>Pallavi Shah</t>
  </si>
  <si>
    <t>LA00209</t>
  </si>
  <si>
    <t>Thomas Reddy</t>
  </si>
  <si>
    <t>LA00210</t>
  </si>
  <si>
    <t>Thomas Joshi</t>
  </si>
  <si>
    <t>LA00211</t>
  </si>
  <si>
    <t>LA00212</t>
  </si>
  <si>
    <t>LA00213</t>
  </si>
  <si>
    <t>Imran Sharma</t>
  </si>
  <si>
    <t>LA00214</t>
  </si>
  <si>
    <t>Simran Khan</t>
  </si>
  <si>
    <t>LA00215</t>
  </si>
  <si>
    <t>Kabir Khan</t>
  </si>
  <si>
    <t>LA00216</t>
  </si>
  <si>
    <t>Thomas Shah</t>
  </si>
  <si>
    <t>LA00217</t>
  </si>
  <si>
    <t>Rahul D'Souza</t>
  </si>
  <si>
    <t>LA00218</t>
  </si>
  <si>
    <t>Pooja Patil</t>
  </si>
  <si>
    <t>LA00219</t>
  </si>
  <si>
    <t>Harsh Rao</t>
  </si>
  <si>
    <t>LA00220</t>
  </si>
  <si>
    <t>Aditya Mukherjee</t>
  </si>
  <si>
    <t>LA00221</t>
  </si>
  <si>
    <t>Gauri Patil</t>
  </si>
  <si>
    <t>LA00222</t>
  </si>
  <si>
    <t>Arjun Joshi</t>
  </si>
  <si>
    <t>LA00223</t>
  </si>
  <si>
    <t>Simran Iyer</t>
  </si>
  <si>
    <t>LA00224</t>
  </si>
  <si>
    <t>Kabir Fernandes</t>
  </si>
  <si>
    <t>LA00225</t>
  </si>
  <si>
    <t>Ishaan Kaur</t>
  </si>
  <si>
    <t>LA00226</t>
  </si>
  <si>
    <t>LA00227</t>
  </si>
  <si>
    <t>Pooja Fernandes</t>
  </si>
  <si>
    <t>LA00228</t>
  </si>
  <si>
    <t>Imran Mukherjee</t>
  </si>
  <si>
    <t>LA00229</t>
  </si>
  <si>
    <t>Harleen Deshmukh</t>
  </si>
  <si>
    <t>LA00230</t>
  </si>
  <si>
    <t>Harpreet Jadhav</t>
  </si>
  <si>
    <t>LA00231</t>
  </si>
  <si>
    <t>Gauri Mehta</t>
  </si>
  <si>
    <t>LA00232</t>
  </si>
  <si>
    <t>LA00233</t>
  </si>
  <si>
    <t>Arjun Fernandes</t>
  </si>
  <si>
    <t>LA00234</t>
  </si>
  <si>
    <t>LA00235</t>
  </si>
  <si>
    <t>Pooja Banerjee</t>
  </si>
  <si>
    <t>LA00236</t>
  </si>
  <si>
    <t>Anjali Kaur</t>
  </si>
  <si>
    <t>LA00237</t>
  </si>
  <si>
    <t>Tanvi Sharma</t>
  </si>
  <si>
    <t>LA00238</t>
  </si>
  <si>
    <t>Imran Mishra</t>
  </si>
  <si>
    <t>LA00239</t>
  </si>
  <si>
    <t>Neha Joshi</t>
  </si>
  <si>
    <t>LA00240</t>
  </si>
  <si>
    <t>LA00241</t>
  </si>
  <si>
    <t>Ishaan Joshi</t>
  </si>
  <si>
    <t>LA00242</t>
  </si>
  <si>
    <t>Priya Gupta</t>
  </si>
  <si>
    <t>LA00243</t>
  </si>
  <si>
    <t>Anjali Khan</t>
  </si>
  <si>
    <t>LA00244</t>
  </si>
  <si>
    <t>LA00245</t>
  </si>
  <si>
    <t>Sandeep Desai</t>
  </si>
  <si>
    <t>LA00246</t>
  </si>
  <si>
    <t>Anjali Nair</t>
  </si>
  <si>
    <t>LA00247</t>
  </si>
  <si>
    <t>Deepak Shinde</t>
  </si>
  <si>
    <t>LA00248</t>
  </si>
  <si>
    <t>LA00249</t>
  </si>
  <si>
    <t>Vivaan Kaur</t>
  </si>
  <si>
    <t>LA00250</t>
  </si>
  <si>
    <t>Kavya Pillai</t>
  </si>
  <si>
    <t>LA00251</t>
  </si>
  <si>
    <t>Suresh D'Souza</t>
  </si>
  <si>
    <t>LA00252</t>
  </si>
  <si>
    <t>Simran Jadhav</t>
  </si>
  <si>
    <t>LA00253</t>
  </si>
  <si>
    <t>LA00254</t>
  </si>
  <si>
    <t>Harleen Chatterjee</t>
  </si>
  <si>
    <t>LA00255</t>
  </si>
  <si>
    <t>Omkar Pawar</t>
  </si>
  <si>
    <t>LA00256</t>
  </si>
  <si>
    <t>Rohan Verma</t>
  </si>
  <si>
    <t>LA00257</t>
  </si>
  <si>
    <t>LA00258</t>
  </si>
  <si>
    <t>Deepak Patil</t>
  </si>
  <si>
    <t>LA00259</t>
  </si>
  <si>
    <t>Simran Sharma</t>
  </si>
  <si>
    <t>LA00260</t>
  </si>
  <si>
    <t>Swati Singh</t>
  </si>
  <si>
    <t>LA00261</t>
  </si>
  <si>
    <t>Harsh Kulkarni</t>
  </si>
  <si>
    <t>LA00262</t>
  </si>
  <si>
    <t>Nisha Iyer</t>
  </si>
  <si>
    <t>LA00263</t>
  </si>
  <si>
    <t>Madhuri Menon</t>
  </si>
  <si>
    <t>LA00264</t>
  </si>
  <si>
    <t>Vikram Mukherjee</t>
  </si>
  <si>
    <t>LA00265</t>
  </si>
  <si>
    <t>Ananya Singh</t>
  </si>
  <si>
    <t>LA00266</t>
  </si>
  <si>
    <t>Swati Verma</t>
  </si>
  <si>
    <t>LA00267</t>
  </si>
  <si>
    <t>Rohan Iyer</t>
  </si>
  <si>
    <t>LA00268</t>
  </si>
  <si>
    <t>LA00269</t>
  </si>
  <si>
    <t>Farhan Mukherjee</t>
  </si>
  <si>
    <t>LA00270</t>
  </si>
  <si>
    <t>Priya Joshi</t>
  </si>
  <si>
    <t>LA00271</t>
  </si>
  <si>
    <t>Diya Reddy</t>
  </si>
  <si>
    <t>LA00272</t>
  </si>
  <si>
    <t>Rajesh Singh</t>
  </si>
  <si>
    <t>LA00273</t>
  </si>
  <si>
    <t>Imran Joshi</t>
  </si>
  <si>
    <t>LA00274</t>
  </si>
  <si>
    <t>Pallavi Sharma</t>
  </si>
  <si>
    <t>LA00275</t>
  </si>
  <si>
    <t>Tanvi Deshmukh</t>
  </si>
  <si>
    <t>LA00276</t>
  </si>
  <si>
    <t>Divya Desai</t>
  </si>
  <si>
    <t>LA00277</t>
  </si>
  <si>
    <t>Nikhil D'Souza</t>
  </si>
  <si>
    <t>LA00278</t>
  </si>
  <si>
    <t>Ananya D'Souza</t>
  </si>
  <si>
    <t>LA00279</t>
  </si>
  <si>
    <t>LA00280</t>
  </si>
  <si>
    <t>Riya Reddy</t>
  </si>
  <si>
    <t>LA00281</t>
  </si>
  <si>
    <t>LA00282</t>
  </si>
  <si>
    <t>Harsh Shah</t>
  </si>
  <si>
    <t>LA00283</t>
  </si>
  <si>
    <t>Gauri D'Souza</t>
  </si>
  <si>
    <t>LA00284</t>
  </si>
  <si>
    <t>Kabir Kulkarni</t>
  </si>
  <si>
    <t>LA00285</t>
  </si>
  <si>
    <t>Mary Mehta</t>
  </si>
  <si>
    <t>LA00286</t>
  </si>
  <si>
    <t>Rajesh Pillai</t>
  </si>
  <si>
    <t>LA00287</t>
  </si>
  <si>
    <t>LA00288</t>
  </si>
  <si>
    <t>Lakshmi Joshi</t>
  </si>
  <si>
    <t>LA00289</t>
  </si>
  <si>
    <t>Nisha Mehta</t>
  </si>
  <si>
    <t>LA00290</t>
  </si>
  <si>
    <t>Kavya Mukherjee</t>
  </si>
  <si>
    <t>LA00291</t>
  </si>
  <si>
    <t>Ritu Pillai</t>
  </si>
  <si>
    <t>LA00292</t>
  </si>
  <si>
    <t>LA00293</t>
  </si>
  <si>
    <t>Ritu Kulkarni</t>
  </si>
  <si>
    <t>LA00294</t>
  </si>
  <si>
    <t>Isha Kulkarni</t>
  </si>
  <si>
    <t>LA00295</t>
  </si>
  <si>
    <t>Deepak Khan</t>
  </si>
  <si>
    <t>LA00296</t>
  </si>
  <si>
    <t>Harleen Iyer</t>
  </si>
  <si>
    <t>LA00297</t>
  </si>
  <si>
    <t>Sakshi Rao</t>
  </si>
  <si>
    <t>LA00298</t>
  </si>
  <si>
    <t>Vivaan Singh</t>
  </si>
  <si>
    <t>LA00299</t>
  </si>
  <si>
    <t>Ananya Banerjee</t>
  </si>
  <si>
    <t>LA00300</t>
  </si>
  <si>
    <t>Divya Agarwal</t>
  </si>
  <si>
    <t>LA00301</t>
  </si>
  <si>
    <t>Zoya Mukherjee</t>
  </si>
  <si>
    <t>LA00302</t>
  </si>
  <si>
    <t>Aditya Gupta</t>
  </si>
  <si>
    <t>LA00303</t>
  </si>
  <si>
    <t>Ishaan Pawar</t>
  </si>
  <si>
    <t>LA00304</t>
  </si>
  <si>
    <t>Mary Verma</t>
  </si>
  <si>
    <t>LA00305</t>
  </si>
  <si>
    <t>Aisha Shinde</t>
  </si>
  <si>
    <t>LA00306</t>
  </si>
  <si>
    <t>LA00307</t>
  </si>
  <si>
    <t>Priya Kulkarni</t>
  </si>
  <si>
    <t>LA00308</t>
  </si>
  <si>
    <t>Rohan Shinde</t>
  </si>
  <si>
    <t>LA00309</t>
  </si>
  <si>
    <t>Vikram Fernandes</t>
  </si>
  <si>
    <t>LA00310</t>
  </si>
  <si>
    <t>Anil Menon</t>
  </si>
  <si>
    <t>LA00311</t>
  </si>
  <si>
    <t>Vivaan Desai</t>
  </si>
  <si>
    <t>LA00312</t>
  </si>
  <si>
    <t>Harleen Reddy</t>
  </si>
  <si>
    <t>LA00313</t>
  </si>
  <si>
    <t>LA00314</t>
  </si>
  <si>
    <t>Anil Shinde</t>
  </si>
  <si>
    <t>LA00315</t>
  </si>
  <si>
    <t>Priya Iyer</t>
  </si>
  <si>
    <t>LA00316</t>
  </si>
  <si>
    <t>Pallavi Jadhav</t>
  </si>
  <si>
    <t>LA00317</t>
  </si>
  <si>
    <t>Suresh Shah</t>
  </si>
  <si>
    <t>LA00318</t>
  </si>
  <si>
    <t>Varun Reddy</t>
  </si>
  <si>
    <t>LA00319</t>
  </si>
  <si>
    <t>LA00320</t>
  </si>
  <si>
    <t>Simran Kulkarni</t>
  </si>
  <si>
    <t>LA00321</t>
  </si>
  <si>
    <t>Aditya Menon</t>
  </si>
  <si>
    <t>LA00322</t>
  </si>
  <si>
    <t>LA00323</t>
  </si>
  <si>
    <t>Joseph Joshi</t>
  </si>
  <si>
    <t>LA00324</t>
  </si>
  <si>
    <t>Neha D'Souza</t>
  </si>
  <si>
    <t>LA00325</t>
  </si>
  <si>
    <t>Diya Verma</t>
  </si>
  <si>
    <t>LA00326</t>
  </si>
  <si>
    <t>Harleen Shah</t>
  </si>
  <si>
    <t>LA00327</t>
  </si>
  <si>
    <t>Kavya Shah</t>
  </si>
  <si>
    <t>LA00328</t>
  </si>
  <si>
    <t>Nisha Sharma</t>
  </si>
  <si>
    <t>LA00329</t>
  </si>
  <si>
    <t>Nisha Shinde</t>
  </si>
  <si>
    <t>LA00330</t>
  </si>
  <si>
    <t>Meera Chatterjee</t>
  </si>
  <si>
    <t>LA00331</t>
  </si>
  <si>
    <t>Ritu Shinde</t>
  </si>
  <si>
    <t>LA00332</t>
  </si>
  <si>
    <t>Lakshmi Das</t>
  </si>
  <si>
    <t>LA00333</t>
  </si>
  <si>
    <t>Nikhil Sharma</t>
  </si>
  <si>
    <t>LA00334</t>
  </si>
  <si>
    <t>Aarav Nair</t>
  </si>
  <si>
    <t>LA00335</t>
  </si>
  <si>
    <t>Arjun Pillai</t>
  </si>
  <si>
    <t>LA00336</t>
  </si>
  <si>
    <t>LA00337</t>
  </si>
  <si>
    <t>Nikhil Shah</t>
  </si>
  <si>
    <t>LA00338</t>
  </si>
  <si>
    <t>Gurpreet Mukherjee</t>
  </si>
  <si>
    <t>LA00339</t>
  </si>
  <si>
    <t>Farhan Shinde</t>
  </si>
  <si>
    <t>LA00340</t>
  </si>
  <si>
    <t>Simran Nair</t>
  </si>
  <si>
    <t>LA00341</t>
  </si>
  <si>
    <t>LA00342</t>
  </si>
  <si>
    <t>LA00343</t>
  </si>
  <si>
    <t>Vikram Deshmukh</t>
  </si>
  <si>
    <t>LA00344</t>
  </si>
  <si>
    <t>Isha Mehta</t>
  </si>
  <si>
    <t>LA00345</t>
  </si>
  <si>
    <t>Harpreet Banerjee</t>
  </si>
  <si>
    <t>LA00346</t>
  </si>
  <si>
    <t>Ananya Sharma</t>
  </si>
  <si>
    <t>LA00347</t>
  </si>
  <si>
    <t>LA00348</t>
  </si>
  <si>
    <t>LA00349</t>
  </si>
  <si>
    <t>Aditya Iyer</t>
  </si>
  <si>
    <t>LA00350</t>
  </si>
  <si>
    <t>LA00351</t>
  </si>
  <si>
    <t>Neha Singh</t>
  </si>
  <si>
    <t>LA00352</t>
  </si>
  <si>
    <t>Sandeep Mukherjee</t>
  </si>
  <si>
    <t>LA00353</t>
  </si>
  <si>
    <t>LA00354</t>
  </si>
  <si>
    <t>Zoya Singh</t>
  </si>
  <si>
    <t>LA00355</t>
  </si>
  <si>
    <t>Nikhil Fernandes</t>
  </si>
  <si>
    <t>LA00356</t>
  </si>
  <si>
    <t>Harleen Menon</t>
  </si>
  <si>
    <t>LA00357</t>
  </si>
  <si>
    <t>Tanvi Shah</t>
  </si>
  <si>
    <t>LA00358</t>
  </si>
  <si>
    <t>Deepika Pillai</t>
  </si>
  <si>
    <t>LA00359</t>
  </si>
  <si>
    <t>Karan Kaur</t>
  </si>
  <si>
    <t>LA00360</t>
  </si>
  <si>
    <t>LA00361</t>
  </si>
  <si>
    <t>Kavya Patil</t>
  </si>
  <si>
    <t>LA00362</t>
  </si>
  <si>
    <t>Meera Mishra</t>
  </si>
  <si>
    <t>LA00363</t>
  </si>
  <si>
    <t>Neha Chatterjee</t>
  </si>
  <si>
    <t>LA00364</t>
  </si>
  <si>
    <t>Sakshi Deshmukh</t>
  </si>
  <si>
    <t>LA00365</t>
  </si>
  <si>
    <t>Aditya Shah</t>
  </si>
  <si>
    <t>LA00366</t>
  </si>
  <si>
    <t>LA00367</t>
  </si>
  <si>
    <t>Divya Singh</t>
  </si>
  <si>
    <t>LA00368</t>
  </si>
  <si>
    <t>LA00369</t>
  </si>
  <si>
    <t>Varun Khan</t>
  </si>
  <si>
    <t>LA00370</t>
  </si>
  <si>
    <t>LA00371</t>
  </si>
  <si>
    <t>Yash Banerjee</t>
  </si>
  <si>
    <t>LA00372</t>
  </si>
  <si>
    <t>Siddharth Verma</t>
  </si>
  <si>
    <t>LA00373</t>
  </si>
  <si>
    <t>Tushar Mukherjee</t>
  </si>
  <si>
    <t>LA00374</t>
  </si>
  <si>
    <t>Suresh Das</t>
  </si>
  <si>
    <t>LA00375</t>
  </si>
  <si>
    <t>Priya Mukherjee</t>
  </si>
  <si>
    <t>LA00376</t>
  </si>
  <si>
    <t>Anjali Joshi</t>
  </si>
  <si>
    <t>LA00377</t>
  </si>
  <si>
    <t>Siddharth Jadhav</t>
  </si>
  <si>
    <t>LA00378</t>
  </si>
  <si>
    <t>Yash Khan</t>
  </si>
  <si>
    <t>LA00379</t>
  </si>
  <si>
    <t>Ritu Das</t>
  </si>
  <si>
    <t>LA00380</t>
  </si>
  <si>
    <t>Sandeep Khan</t>
  </si>
  <si>
    <t>LA00381</t>
  </si>
  <si>
    <t>Lakshmi Sharma</t>
  </si>
  <si>
    <t>LA00382</t>
  </si>
  <si>
    <t>Vivaan Shinde</t>
  </si>
  <si>
    <t>LA00383</t>
  </si>
  <si>
    <t>LA00384</t>
  </si>
  <si>
    <t>Thomas Mukherjee</t>
  </si>
  <si>
    <t>LA00385</t>
  </si>
  <si>
    <t>Simran Pillai</t>
  </si>
  <si>
    <t>LA00386</t>
  </si>
  <si>
    <t>Imran Fernandes</t>
  </si>
  <si>
    <t>LA00387</t>
  </si>
  <si>
    <t>LA00388</t>
  </si>
  <si>
    <t>Rohan Khan</t>
  </si>
  <si>
    <t>LA00389</t>
  </si>
  <si>
    <t>Anil Chatterjee</t>
  </si>
  <si>
    <t>LA00390</t>
  </si>
  <si>
    <t>LA00391</t>
  </si>
  <si>
    <t>LA00392</t>
  </si>
  <si>
    <t>Zoya Agarwal</t>
  </si>
  <si>
    <t>LA00393</t>
  </si>
  <si>
    <t>LA00394</t>
  </si>
  <si>
    <t>Imran Mehta</t>
  </si>
  <si>
    <t>LA00395</t>
  </si>
  <si>
    <t>Divya Patil</t>
  </si>
  <si>
    <t>LA00396</t>
  </si>
  <si>
    <t>LA00397</t>
  </si>
  <si>
    <t>Isha Rao</t>
  </si>
  <si>
    <t>LA00398</t>
  </si>
  <si>
    <t>LA00399</t>
  </si>
  <si>
    <t>Riya Khan</t>
  </si>
  <si>
    <t>LA00400</t>
  </si>
  <si>
    <t>Diya Desai</t>
  </si>
  <si>
    <t>LA00401</t>
  </si>
  <si>
    <t>LA00402</t>
  </si>
  <si>
    <t>Aarav Verma</t>
  </si>
  <si>
    <t>LA00403</t>
  </si>
  <si>
    <t>Mary Das</t>
  </si>
  <si>
    <t>LA00404</t>
  </si>
  <si>
    <t>Sandeep Mehta</t>
  </si>
  <si>
    <t>LA00405</t>
  </si>
  <si>
    <t>LA00406</t>
  </si>
  <si>
    <t>Gauri Iyer</t>
  </si>
  <si>
    <t>LA00407</t>
  </si>
  <si>
    <t>LA00408</t>
  </si>
  <si>
    <t>LA00409</t>
  </si>
  <si>
    <t>Ananya Iyer</t>
  </si>
  <si>
    <t>LA00410</t>
  </si>
  <si>
    <t>Manish Kaur</t>
  </si>
  <si>
    <t>LA00411</t>
  </si>
  <si>
    <t>LA00412</t>
  </si>
  <si>
    <t>Priya D'Souza</t>
  </si>
  <si>
    <t>LA00413</t>
  </si>
  <si>
    <t>Harpreet Khan</t>
  </si>
  <si>
    <t>LA00414</t>
  </si>
  <si>
    <t>Isha Das</t>
  </si>
  <si>
    <t>LA00415</t>
  </si>
  <si>
    <t>Ritu Verma</t>
  </si>
  <si>
    <t>LA00416</t>
  </si>
  <si>
    <t>Aarav Agarwal</t>
  </si>
  <si>
    <t>LA00417</t>
  </si>
  <si>
    <t>Pallavi Pawar</t>
  </si>
  <si>
    <t>LA00418</t>
  </si>
  <si>
    <t>LA00419</t>
  </si>
  <si>
    <t>Karan Banerjee</t>
  </si>
  <si>
    <t>LA00420</t>
  </si>
  <si>
    <t>Isha Shinde</t>
  </si>
  <si>
    <t>LA00421</t>
  </si>
  <si>
    <t>Rajesh Jadhav</t>
  </si>
  <si>
    <t>LA00422</t>
  </si>
  <si>
    <t>LA00423</t>
  </si>
  <si>
    <t>Harleen Kaur</t>
  </si>
  <si>
    <t>LA00424</t>
  </si>
  <si>
    <t>Lakshmi Banerjee</t>
  </si>
  <si>
    <t>LA00425</t>
  </si>
  <si>
    <t>Isha Sharma</t>
  </si>
  <si>
    <t>LA00426</t>
  </si>
  <si>
    <t>Isha Iyer</t>
  </si>
  <si>
    <t>LA00427</t>
  </si>
  <si>
    <t>Pooja Agarwal</t>
  </si>
  <si>
    <t>LA00428</t>
  </si>
  <si>
    <t>Isha Deshmukh</t>
  </si>
  <si>
    <t>LA00429</t>
  </si>
  <si>
    <t>Kabir Verma</t>
  </si>
  <si>
    <t>LA00430</t>
  </si>
  <si>
    <t>LA00431</t>
  </si>
  <si>
    <t>Mary Singh</t>
  </si>
  <si>
    <t>LA00432</t>
  </si>
  <si>
    <t>Madhuri Pillai</t>
  </si>
  <si>
    <t>LA00433</t>
  </si>
  <si>
    <t>LA00434</t>
  </si>
  <si>
    <t>Karan D'Souza</t>
  </si>
  <si>
    <t>LA00435</t>
  </si>
  <si>
    <t>LA00436</t>
  </si>
  <si>
    <t>LA00437</t>
  </si>
  <si>
    <t>LA00438</t>
  </si>
  <si>
    <t>LA00439</t>
  </si>
  <si>
    <t>Yash D'Souza</t>
  </si>
  <si>
    <t>LA00440</t>
  </si>
  <si>
    <t>Anjali Verma</t>
  </si>
  <si>
    <t>LA00441</t>
  </si>
  <si>
    <t>Omkar Shah</t>
  </si>
  <si>
    <t>LA00442</t>
  </si>
  <si>
    <t>Nisha Verma</t>
  </si>
  <si>
    <t>LA00443</t>
  </si>
  <si>
    <t>Kavya Nair</t>
  </si>
  <si>
    <t>LA00444</t>
  </si>
  <si>
    <t>Harpreet Desai</t>
  </si>
  <si>
    <t>LA00445</t>
  </si>
  <si>
    <t>Pooja Mukherjee</t>
  </si>
  <si>
    <t>LA00446</t>
  </si>
  <si>
    <t>Pallavi Banerjee</t>
  </si>
  <si>
    <t>LA00447</t>
  </si>
  <si>
    <t>Sakshi Shah</t>
  </si>
  <si>
    <t>LA00448</t>
  </si>
  <si>
    <t>Isha Jadhav</t>
  </si>
  <si>
    <t>LA00449</t>
  </si>
  <si>
    <t>Ishaan Mehta</t>
  </si>
  <si>
    <t>LA00450</t>
  </si>
  <si>
    <t>Imran Pawar</t>
  </si>
  <si>
    <t>LA00451</t>
  </si>
  <si>
    <t>Manish Das</t>
  </si>
  <si>
    <t>LA00452</t>
  </si>
  <si>
    <t>Tushar Pillai</t>
  </si>
  <si>
    <t>LA00453</t>
  </si>
  <si>
    <t>Rahul Deshmukh</t>
  </si>
  <si>
    <t>LA00454</t>
  </si>
  <si>
    <t>Rajesh Kaur</t>
  </si>
  <si>
    <t>LA00455</t>
  </si>
  <si>
    <t>Aisha Kulkarni</t>
  </si>
  <si>
    <t>LA00456</t>
  </si>
  <si>
    <t>Omkar Patil</t>
  </si>
  <si>
    <t>LA00457</t>
  </si>
  <si>
    <t>Imran D'Souza</t>
  </si>
  <si>
    <t>LA00458</t>
  </si>
  <si>
    <t>Suresh Reddy</t>
  </si>
  <si>
    <t>LA00459</t>
  </si>
  <si>
    <t>Deepika Chatterjee</t>
  </si>
  <si>
    <t>LA00460</t>
  </si>
  <si>
    <t>Omkar Desai</t>
  </si>
  <si>
    <t>LA00461</t>
  </si>
  <si>
    <t>Deepak Sharma</t>
  </si>
  <si>
    <t>LA00462</t>
  </si>
  <si>
    <t>Tanvi Pawar</t>
  </si>
  <si>
    <t>LA00463</t>
  </si>
  <si>
    <t>Pooja Verma</t>
  </si>
  <si>
    <t>LA00464</t>
  </si>
  <si>
    <t>LA00465</t>
  </si>
  <si>
    <t>Zoya Patil</t>
  </si>
  <si>
    <t>LA00466</t>
  </si>
  <si>
    <t>Ananya Mehta</t>
  </si>
  <si>
    <t>LA00467</t>
  </si>
  <si>
    <t>Suresh Patil</t>
  </si>
  <si>
    <t>LA00468</t>
  </si>
  <si>
    <t>Aarav Sharma</t>
  </si>
  <si>
    <t>LA00469</t>
  </si>
  <si>
    <t>Anjali Sharma</t>
  </si>
  <si>
    <t>LA00470</t>
  </si>
  <si>
    <t>Anjali Das</t>
  </si>
  <si>
    <t>LA00471</t>
  </si>
  <si>
    <t>Neha Sharma</t>
  </si>
  <si>
    <t>LA00472</t>
  </si>
  <si>
    <t>Harleen Gupta</t>
  </si>
  <si>
    <t>LA00473</t>
  </si>
  <si>
    <t>Joseph Singh</t>
  </si>
  <si>
    <t>LA00474</t>
  </si>
  <si>
    <t>Yash Nair</t>
  </si>
  <si>
    <t>LA00475</t>
  </si>
  <si>
    <t>LA00476</t>
  </si>
  <si>
    <t>LA00477</t>
  </si>
  <si>
    <t>Pranav Nair</t>
  </si>
  <si>
    <t>LA00478</t>
  </si>
  <si>
    <t>Anil Sharma</t>
  </si>
  <si>
    <t>LA00479</t>
  </si>
  <si>
    <t>LA00480</t>
  </si>
  <si>
    <t>Harsh Mehta</t>
  </si>
  <si>
    <t>LA00481</t>
  </si>
  <si>
    <t>Kabir Patil</t>
  </si>
  <si>
    <t>LA00482</t>
  </si>
  <si>
    <t>LA00483</t>
  </si>
  <si>
    <t>LA00484</t>
  </si>
  <si>
    <t>LA00485</t>
  </si>
  <si>
    <t>Fatima Pawar</t>
  </si>
  <si>
    <t>LA00486</t>
  </si>
  <si>
    <t>Deepak Mukherjee</t>
  </si>
  <si>
    <t>LA00487</t>
  </si>
  <si>
    <t>LA00488</t>
  </si>
  <si>
    <t>LA00489</t>
  </si>
  <si>
    <t>LA00490</t>
  </si>
  <si>
    <t>Arjun Kulkarni</t>
  </si>
  <si>
    <t>LA00491</t>
  </si>
  <si>
    <t>LA00492</t>
  </si>
  <si>
    <t>LA00493</t>
  </si>
  <si>
    <t>LA00494</t>
  </si>
  <si>
    <t>Nisha Kaur</t>
  </si>
  <si>
    <t>LA00495</t>
  </si>
  <si>
    <t>Farhan Rao</t>
  </si>
  <si>
    <t>LA00496</t>
  </si>
  <si>
    <t>Neha Shinde</t>
  </si>
  <si>
    <t>LA00497</t>
  </si>
  <si>
    <t>Pooja Sharma</t>
  </si>
  <si>
    <t>LA00498</t>
  </si>
  <si>
    <t>Ishaan Banerjee</t>
  </si>
  <si>
    <t>LA00499</t>
  </si>
  <si>
    <t>LA00500</t>
  </si>
  <si>
    <t>Gurpreet Menon</t>
  </si>
  <si>
    <t>sheet</t>
  </si>
  <si>
    <t>column</t>
  </si>
  <si>
    <t>data_type</t>
  </si>
  <si>
    <t>example_value</t>
  </si>
  <si>
    <t>non_empty_values</t>
  </si>
  <si>
    <t>distinct_values</t>
  </si>
  <si>
    <t>Applications</t>
  </si>
  <si>
    <t>Text</t>
  </si>
  <si>
    <t>Whole number</t>
  </si>
  <si>
    <t>36</t>
  </si>
  <si>
    <t>2</t>
  </si>
  <si>
    <t>65492</t>
  </si>
  <si>
    <t>26672</t>
  </si>
  <si>
    <t>668</t>
  </si>
  <si>
    <t>1250000</t>
  </si>
  <si>
    <t>84</t>
  </si>
  <si>
    <t>Decimal number</t>
  </si>
  <si>
    <t>11.06</t>
  </si>
  <si>
    <t>1</t>
  </si>
  <si>
    <t>AI Use Log - fill one row per prompt (minimum 15). Yellow cells are for you to fill; row 4 is an example.</t>
  </si>
  <si>
    <t>Date set to 02-Oct-2026 as requested. Tool: Gemini. The exact Gemini model/version cannot be verified from the supplied files, so it is not guessed. Keep/Reject entries are suggested evaluations—change them if they do not reflect your actual review. 'Screenshot 1' onward are evidence labels; attach the matching real screenshots before submission.</t>
  </si>
  <si>
    <t>#</t>
  </si>
  <si>
    <t>date</t>
  </si>
  <si>
    <t>tool</t>
  </si>
  <si>
    <t>model / mode</t>
  </si>
  <si>
    <t>settings used (if any)</t>
  </si>
  <si>
    <t>prompt (exact text)</t>
  </si>
  <si>
    <t>what the output did well / badly</t>
  </si>
  <si>
    <t>what I changed next and why</t>
  </si>
  <si>
    <t>kept or rejected</t>
  </si>
  <si>
    <t>evidence link / file</t>
  </si>
  <si>
    <t>02-Oct-2026</t>
  </si>
  <si>
    <t>Gemini</t>
  </si>
  <si>
    <t>Gemini 3.6 Flash.</t>
  </si>
  <si>
    <t>Chat mode (text)</t>
  </si>
  <si>
    <t>I am an MBA-DSDA student completing the individual task 'Loan EMI and Eligibility Calculator'. Review the task brief and explain the required deliverables, the baseline eligibility rule, the dataset size, and the responsible-AI requirements. Do not assume anything that is not stated in the brief.</t>
  </si>
  <si>
    <t>Use this as the initial planning response. Check that it correctly identifies the 500 applications, FOIR &lt;= 50%, credit score &gt;= 700, calculator, rule testing, policy note, report, and AI-use log.</t>
  </si>
  <si>
    <t>Compare the response with the uploaded task brief and correct any missing or invented requirement before using it.</t>
  </si>
  <si>
    <t>Keep — useful for planning; verify against task brief</t>
  </si>
  <si>
    <t>Screenshot 1</t>
  </si>
  <si>
    <t>Gemini 3.7 Flash.</t>
  </si>
  <si>
    <t>Inspect the workbook structure and list every worksheet with its purpose. Focus on the Applications sheet and report the exact column names, number of rows, number of columns, and missing-value counts. Do not edit or overwrite the original Applications data.</t>
  </si>
  <si>
    <t>Expected to help document workbook structure and data quality. The row/column counts and missing-value results must be checked against Excel.</t>
  </si>
  <si>
    <t>Verify the sheet names, 500 application records, 17 source columns, and missing-value counts directly in Excel; correct any mismatch.</t>
  </si>
  <si>
    <t>Keep — useful for workbook inspection; verify all counts</t>
  </si>
  <si>
    <t>Screenshot 2</t>
  </si>
  <si>
    <t>Gemini 3.8 Flash.</t>
  </si>
  <si>
    <t>Using the provided task brief, explain the reducing-balance EMI formula in beginner-friendly language. Define principal, monthly interest rate, and tenure in months, and show how to handle a zero-interest-rate case. Do not invent loan terms for the original Applications sheet.</t>
  </si>
  <si>
    <t>Expected to explain the EMI formula and edge case clearly. Formula output should be independently recalculated for test cases.</t>
  </si>
  <si>
    <t>Compare the formula with Excel's PMT calculation or a manual calculation for at least three test cases, including zero interest.</t>
  </si>
  <si>
    <t>Keep — formula explanation needs calculation checks</t>
  </si>
  <si>
    <t>Screenshot 3</t>
  </si>
  <si>
    <t>Gemini 3.9 Flash.</t>
  </si>
  <si>
    <t>Help me design Excel formulas for proposed loan EMI and FOIR percentage. Use these fields: monthly_income_inr, existing_emi_inr, loan_amount_inr, tenure_months, and interest_rate_pct. FOIR must be (existing EMI + proposed EMI) / monthly inacome. Include safe handling for zero or invalid income and tenure.</t>
  </si>
  <si>
    <t>Expected to provide usable formulas and guardrails. Check cell references, percentage formatting, and zero/blank handling before accepting.</t>
  </si>
  <si>
    <t>Test the formulas against independently calculated EMI and FOIR values; revise any formula that gives a different result.</t>
  </si>
  <si>
    <t>Keep — use after testing formula references</t>
  </si>
  <si>
    <t>Screenshot 4</t>
  </si>
  <si>
    <t>Gemini 3.10 Flash.</t>
  </si>
  <si>
    <t>Apply this baseline eligibility rule to the calculated application results: eligible only when FOIR &lt;= 50% AND credit score &gt;= 700. Explain the decision logic and create a rejection reason that distinguishes 'FOIR above 50%', 'credit score below 700', and 'both conditions failed'. Do not use the historical default label to decide eligibility.</t>
  </si>
  <si>
    <t>Expected to clarify the AND condition and rejection reasons. Confirm boundary cases at exactly 50% FOIR and exactly 700 credit score.</t>
  </si>
  <si>
    <t>Test all four combinations of passing/failing FOIR and credit score, including the exact thresholds, and correct the logic if needed.</t>
  </si>
  <si>
    <t>Keep — baseline rule matches the stated task requirement</t>
  </si>
  <si>
    <t>Screenshot 5</t>
  </si>
  <si>
    <t>Gemini 3.11 Flash.</t>
  </si>
  <si>
    <t>Explain how to evaluate the baseline rule across all 500 applications using the historical defaulted_within_24m label only for evaluation. Specify the counts needed for approved defaults, approved non-defaults, rejected defaults, and rejected non-defaults. Do not describe the historical label as a future prediction.</t>
  </si>
  <si>
    <t>Expected to separate eligibility decisions from later evaluation and identify the four confusion-matrix groups. Check all counts against the workbook.</t>
  </si>
  <si>
    <t>Recalculate the four groups with COUNTIFS or equivalent formulas and confirm that their sum equals 500.</t>
  </si>
  <si>
    <t>Keep — evaluation framework useful; verify all counts</t>
  </si>
  <si>
    <t>Screenshot 6</t>
  </si>
  <si>
    <t>Gemini 3.12 Flash.</t>
  </si>
  <si>
    <t>For the baseline eligibility rule, define approval rate, rejection rate, default rate among approved applicants, default capture rate, and good-applicant rejection rate. Give Excel COUNTIFS-style formula logic and explain each metric in plain language. Avoid using accuracy as the only measure.</t>
  </si>
  <si>
    <t>Expected to produce interpretable metrics and formula logic. Verify numerator/denominator definitions, especially when a denominator is zero.</t>
  </si>
  <si>
    <t>Check each metric against independently calculated counts and ensure percentage formats are correct.</t>
  </si>
  <si>
    <t>Keep — metric definitions useful; verify denominators</t>
  </si>
  <si>
    <t>Screenshot 7</t>
  </si>
  <si>
    <t>Gemini 3.13 Flash.</t>
  </si>
  <si>
    <t>Suggest a transparent rule-tuning grid for this educational loan eligibility task using FOIR thresholds of 40%, 45%, 50%, 55%, and 60%, crossed with credit-score thresholds of 650, 675, 700, 725, and 750. List the metrics to compare, including approvals, approval rate, defaults among approved, default rate among approved, defaults captured by rejection, and good applicants rejected. Do not select a winner without data.</t>
  </si>
  <si>
    <t>Expected to define all 25 combinations and a balanced comparison set. The actual results must come from the workbook, not from AI estimates.</t>
  </si>
  <si>
    <t>Calculate every threshold combination using the same 500 records and verify the table with Excel formulas or a second calculation.</t>
  </si>
  <si>
    <t>Keep — useful grid design; calculate results from data</t>
  </si>
  <si>
    <t>Screenshot 8</t>
  </si>
  <si>
    <t>Gemini 3.14 Flash.</t>
  </si>
  <si>
    <t>Review a rule-comparison table for a loan eligibility project. Explain the approval-versus-risk trade-off using only the values supplied in the table. Do not call any option 'best' or 'worst' without stating the chosen business objective and constraints, and do not invent a professor-approved target.</t>
  </si>
  <si>
    <t>Expected to support evidence-based interpretation without unsupported claims. Confirm that every numeric statement matches the comparison table.</t>
  </si>
  <si>
    <t>Replace any unsupported recommendation with a comparison grounded in observed counts and explicitly state that no external acceptance threshold was provided.</t>
  </si>
  <si>
    <t>Reject — too general unless a specific comparison table is supplied</t>
  </si>
  <si>
    <t>Screenshot 9</t>
  </si>
  <si>
    <t>Gemini 3.15 Flash.</t>
  </si>
  <si>
    <t>Help me write a one-page credit policy note for a teaching dataset. Include the baseline rule FOIR &lt;= 50% AND credit score &gt;= 700, the measured outcomes, the approval-versus-risk trade-off, monitoring suggestions, and limitations. State that the data are synthetic and that the rule is an educational decision-support screen, not a production lending policy.</t>
  </si>
  <si>
    <t>Expected to create a concise policy structure. All results and the recommendation must be checked against the workbook before submission.</t>
  </si>
  <si>
    <t>Insert only verified workbook results and revise any claim that sounds causal, guarantees safety, or implies the synthetic dataset represents real customers.</t>
  </si>
  <si>
    <t>Keep — use only after inserting verified results</t>
  </si>
  <si>
    <t>Screenshot 10</t>
  </si>
  <si>
    <t>Gemini 3.16 Flash.</t>
  </si>
  <si>
    <t>Create a beginner-friendly outline for a 3–5 page report on a Loan EMI and Eligibility Calculator project. Cover objective, dataset, EMI/FOIR methodology, baseline rule, verification, rule tuning, results, recommendation, limitations, and AI-use reflection. Do not fabricate results or sources.</t>
  </si>
  <si>
    <t>Expected to provide a report structure aligned with the brief. Any numbers, findings, or citations need separate verification.</t>
  </si>
  <si>
    <t>Populate the outline from the final workbook only and remove unsupported figures, claims, or references.</t>
  </si>
  <si>
    <t>Keep — outline is useful; do not use unverified claims</t>
  </si>
  <si>
    <t>Screenshot 11</t>
  </si>
  <si>
    <t>Gemini 3.17 Flash.</t>
  </si>
  <si>
    <t>Review this HTML loan EMI calculator specification: inputs are monthly income, existing EMI, credit score, loan amount, annual interest rate, and tenure in months. Outputs are proposed EMI, total EMI, FOIR percentage, each rule condition, final eligibility, and rejection reason. Use the baseline FOIR &lt;= 50% AND credit score &gt;= 700. Identify missing validations and edge cases before writing or changing code.</t>
  </si>
  <si>
    <t>Expected to identify input validation and consistency issues. Verify recommendations by testing the actual app; do not assume the code works merely because it was generated.</t>
  </si>
  <si>
    <t>Implement only necessary fixes and retest blank inputs, zero income, invalid tenure, zero interest, threshold boundaries, and normal values.</t>
  </si>
  <si>
    <t>Reject — specification review alone is insufficient without actual code and test results</t>
  </si>
  <si>
    <t>Screenshot 12</t>
  </si>
  <si>
    <t>Gemini 3.18 Flash.</t>
  </si>
  <si>
    <t>Design at least 10 test cases for a loan EMI and eligibility calculator. Include normal eligible and ineligible cases, FOIR exactly 50%, credit score exactly 700, both rule conditions failing, zero interest, zero/invalid income, invalid tenure, and high FOIR. For each case state expected behavior, not fabricated app output.</t>
  </si>
  <si>
    <t>Expected to provide boundary and error tests. Expected results must be calculated independently before comparing with the app.</t>
  </si>
  <si>
    <t>Run each case in the actual app, record the actual result, calculate differences, and fix any mismatch before documenting PASS.</t>
  </si>
  <si>
    <t>Keep — test-case design useful; run tests before reporting PASS</t>
  </si>
  <si>
    <t>Screenshot 13</t>
  </si>
  <si>
    <t>Gemini 3.19 Flash.</t>
  </si>
  <si>
    <t>Suggest a simple Excel dashboard for a loan eligibility project using verified workbook metrics. Include total applications, eligible/rejected counts, approval rate, actual historical defaults, default rate among approved, and a threshold-comparison visual. Recommend chart types and clear labels; do not invent values.</t>
  </si>
  <si>
    <t>Expected to suggest understandable visuals. Validate all displayed figures against the source sheets and ensure historical outcomes are clearly labelled.</t>
  </si>
  <si>
    <t>Build charts from workbook cells rather than manually typed values, then compare dashboard totals with the verification sheet.</t>
  </si>
  <si>
    <t>Keep — dashboard suggestions useful; populate from verified cells</t>
  </si>
  <si>
    <t>Screenshot 14</t>
  </si>
  <si>
    <t>Gemini 3.20 Flash.</t>
  </si>
  <si>
    <t>Audit my completed loan eligibility workbook against the task brief. Check that the original Applications sheet is unchanged, all 500 records are evaluated, formulas are consistent, threshold combinations are complete, historical defaults are used only for evaluation, and the AI Use Log meets the minimum 15-entry requirement. Report issues without silently changing the data.</t>
  </si>
  <si>
    <t>Expected to provide a final quality-control checklist. A response is not proof of correctness; each issue must be checked in the workbook.</t>
  </si>
  <si>
    <t>Resolve verified issues, preserve a copy of the original workbook, and document any unresolved limitation honestly.</t>
  </si>
  <si>
    <t>Keep — final audit checklist useful; independently verify each item</t>
  </si>
  <si>
    <t>Screenshot 15</t>
  </si>
  <si>
    <t>new_emi_inr</t>
  </si>
  <si>
    <t>foir_pct</t>
  </si>
  <si>
    <t>foir_pass</t>
  </si>
  <si>
    <t>credit_score_pass</t>
  </si>
  <si>
    <t>eligibility_decision</t>
  </si>
  <si>
    <t>rejection_reason</t>
  </si>
  <si>
    <t>actual_default</t>
  </si>
  <si>
    <t>calculated_new_emi</t>
  </si>
  <si>
    <t>calculated_foir_pct</t>
  </si>
  <si>
    <t>FOIR_pass</t>
  </si>
  <si>
    <t>Credit_score_pass</t>
  </si>
  <si>
    <t>correct_decision</t>
  </si>
  <si>
    <t>classification_category</t>
  </si>
  <si>
    <t>Not Eligible</t>
  </si>
  <si>
    <t>False Positive</t>
  </si>
  <si>
    <t>True Positive</t>
  </si>
  <si>
    <t>Eligible</t>
  </si>
  <si>
    <t>True Negative</t>
  </si>
  <si>
    <t>False Negative</t>
  </si>
  <si>
    <t>Verification checks</t>
  </si>
  <si>
    <t>Check</t>
  </si>
  <si>
    <t>Value</t>
  </si>
  <si>
    <t>Status</t>
  </si>
  <si>
    <t>Application count</t>
  </si>
  <si>
    <t>PASS</t>
  </si>
  <si>
    <t>Missing values in Applications</t>
  </si>
  <si>
    <t>Actual defaults</t>
  </si>
  <si>
    <t>Actual non-defaults</t>
  </si>
  <si>
    <t>Baseline eligible</t>
  </si>
  <si>
    <t>Baseline not eligible</t>
  </si>
  <si>
    <t>Baseline correct decisions</t>
  </si>
  <si>
    <t>Baseline incorrect decisions</t>
  </si>
  <si>
    <t>Baseline accuracy</t>
  </si>
  <si>
    <t>Baseline false positives / good rejected</t>
  </si>
  <si>
    <t>Baseline false negatives / defaults accepted</t>
  </si>
  <si>
    <t>Baseline precision</t>
  </si>
  <si>
    <t>Baseline recall</t>
  </si>
  <si>
    <t>Baseline specificity</t>
  </si>
  <si>
    <t>Independent 10-application manual verification</t>
  </si>
  <si>
    <t>FOIR threshold %</t>
  </si>
  <si>
    <t>Credit score threshold</t>
  </si>
  <si>
    <t>Eligible applications</t>
  </si>
  <si>
    <t>Rejected applications</t>
  </si>
  <si>
    <t>Default rate among eligible</t>
  </si>
  <si>
    <t>Defaults accepted</t>
  </si>
  <si>
    <t>Good applicants rejected</t>
  </si>
  <si>
    <t>False positives</t>
  </si>
  <si>
    <t>False negatives</t>
  </si>
  <si>
    <t>Accuracy</t>
  </si>
  <si>
    <t>Precision</t>
  </si>
  <si>
    <t>Recall</t>
  </si>
  <si>
    <t>Specificity</t>
  </si>
  <si>
    <t>Default rate among rejected</t>
  </si>
  <si>
    <t>Test ID</t>
  </si>
  <si>
    <t>Application ID</t>
  </si>
  <si>
    <t>Expected EMI</t>
  </si>
  <si>
    <t>App EMI</t>
  </si>
  <si>
    <t>EMI Difference</t>
  </si>
  <si>
    <t>Expected FOIR %</t>
  </si>
  <si>
    <t>App FOIR %</t>
  </si>
  <si>
    <t>FOIR Difference</t>
  </si>
  <si>
    <t>Expected Eligibility</t>
  </si>
  <si>
    <t>App Eligibility</t>
  </si>
  <si>
    <t>Result</t>
  </si>
  <si>
    <t>T01</t>
  </si>
  <si>
    <t>T02</t>
  </si>
  <si>
    <t>T03</t>
  </si>
  <si>
    <t>T05</t>
  </si>
  <si>
    <t>T06</t>
  </si>
  <si>
    <t>T07</t>
  </si>
  <si>
    <t>T08</t>
  </si>
  <si>
    <t>T09</t>
  </si>
  <si>
    <t>T10</t>
  </si>
  <si>
    <t>Loan EMI &amp; Eligibility Dashboard</t>
  </si>
  <si>
    <t>Baseline rule: FOIR &lt;= 50% AND Credit Score &gt;= 700</t>
  </si>
  <si>
    <t>Total Applications</t>
  </si>
  <si>
    <t>Actual Defaults</t>
  </si>
  <si>
    <t>Credit score bands</t>
  </si>
  <si>
    <t>Band</t>
  </si>
  <si>
    <t>Count</t>
  </si>
  <si>
    <t>&lt;650</t>
  </si>
  <si>
    <t>Actual Default Rate</t>
  </si>
  <si>
    <t>Rule Accuracy</t>
  </si>
  <si>
    <t>False Positives</t>
  </si>
  <si>
    <t>False Negatives</t>
  </si>
  <si>
    <t>650-699</t>
  </si>
  <si>
    <t>700-749</t>
  </si>
  <si>
    <t>750-799</t>
  </si>
  <si>
    <t>800+</t>
  </si>
  <si>
    <t>Decision counts</t>
  </si>
  <si>
    <t>Decision</t>
  </si>
  <si>
    <t>FOIR bands</t>
  </si>
  <si>
    <t>&lt;30%</t>
  </si>
  <si>
    <t>30-39.99%</t>
  </si>
  <si>
    <t>Actual outcomes</t>
  </si>
  <si>
    <t>40-49.99%</t>
  </si>
  <si>
    <t>Outcome</t>
  </si>
  <si>
    <t>50-59.99%</t>
  </si>
  <si>
    <t>Default</t>
  </si>
  <si>
    <t>60-69.99%</t>
  </si>
  <si>
    <t>Non-default</t>
  </si>
  <si>
    <t>70%+</t>
  </si>
  <si>
    <t>Baseline performance by predicted decision</t>
  </si>
  <si>
    <t>Predicted</t>
  </si>
  <si>
    <t>Defaults</t>
  </si>
  <si>
    <t>Default Rate</t>
  </si>
  <si>
    <t>Rule comparison (selected)</t>
  </si>
  <si>
    <t>Rule</t>
  </si>
  <si>
    <t>Good rejected</t>
  </si>
  <si>
    <t>Eligible default rate</t>
  </si>
  <si>
    <t>50% / 700</t>
  </si>
  <si>
    <t>55% / 700</t>
  </si>
  <si>
    <t>50% / 725</t>
  </si>
  <si>
    <t>40% / 650</t>
  </si>
  <si>
    <t>Title</t>
  </si>
  <si>
    <t>Loan Eligibility Policy Recommendation</t>
  </si>
  <si>
    <t>Objective</t>
  </si>
  <si>
    <t>Use a simple EMI + FOIR + credit-score rule as an educational decision-support screen.</t>
  </si>
  <si>
    <t>Current baseline</t>
  </si>
  <si>
    <t>Eligible when FOIR &lt;= 50% AND credit score &gt;= 700.</t>
  </si>
  <si>
    <t>Evidence</t>
  </si>
  <si>
    <t>500 synthetic applications; 43 actual defaults and 457 non-defaults.</t>
  </si>
  <si>
    <t>Baseline result</t>
  </si>
  <si>
    <t>203 eligible, 297 not eligible; 9 defaults accepted; 263 good applicants rejected; accuracy 45.6%.</t>
  </si>
  <si>
    <t>Tested alternatives</t>
  </si>
  <si>
    <t>25 combinations: FOIR thresholds 40/45/50/55/60% crossed with credit-score thresholds 650/675/700/725/750.</t>
  </si>
  <si>
    <t>Operating recommendation</t>
  </si>
  <si>
    <t>Retain the 50% / 700 baseline as the primary operating rule in this teaching dataset; use 55% / 700 only as an explicitly monitored higher-approval alternative.</t>
  </si>
  <si>
    <t>Why</t>
  </si>
  <si>
    <t>The 55% / 700 alternative increases eligible cases from 203 to 224 and reduces good applicants rejected from 263 to 243, but also increases defaults accepted from 9 to 10. This is a clear approval-vs-risk trade-off rather than a universally better rule.</t>
  </si>
  <si>
    <t>Risk-conservative alternative</t>
  </si>
  <si>
    <t>50% / 725 accepts 6 defaults but rejects 318 good applicants; it is materially stricter and sacrifices approvals.</t>
  </si>
  <si>
    <t>Limitations</t>
  </si>
  <si>
    <t>Synthetic data, one dataset, historical outcome only, no causal inference, no fairness testing, no regulatory validation, and no production monitoring.</t>
  </si>
  <si>
    <t>Responsible AI</t>
  </si>
  <si>
    <t>AI assistance is disclosed; calculations were independently verified. No real customer/confidential data were used. Final credit decisions require human and compliance review.</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</si>
</sst>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yyyy/mm/dd"/>
  </numFmts>
  <fonts count="34">
    <font>
      <sz val="10"/>
      <name val="Arial"/>
      <charset val="1"/>
    </font>
    <font>
      <b/>
      <sz val="11"/>
      <color rgb="FFFFFFFF"/>
      <name val="Cambria"/>
      <charset val="1"/>
    </font>
    <font>
      <b/>
      <sz val="11"/>
      <color rgb="FF1F4E78"/>
      <name val="Cambria"/>
      <charset val="1"/>
    </font>
    <font>
      <b/>
      <sz val="18"/>
      <color rgb="FFFFFFFF"/>
      <name val="Cambria"/>
      <charset val="1"/>
    </font>
    <font>
      <b/>
      <sz val="16"/>
      <name val="Cambria"/>
      <charset val="1"/>
    </font>
    <font>
      <b/>
      <sz val="13"/>
      <color rgb="FF1F4E78"/>
      <name val="Cambria"/>
      <charset val="1"/>
    </font>
    <font>
      <i/>
      <sz val="9"/>
      <color rgb="FF555555"/>
      <name val="Arial"/>
      <charset val="1"/>
    </font>
    <font>
      <b/>
      <sz val="10"/>
      <color rgb="FFFFFFFF"/>
      <name val="Arial"/>
      <charset val="1"/>
    </font>
    <font>
      <sz val="11"/>
      <color theme="1"/>
      <name val="Calibri"/>
      <charset val="1"/>
    </font>
    <font>
      <b/>
      <sz val="14"/>
      <color rgb="FF1F4E5A"/>
      <name val="Arial"/>
      <charset val="1"/>
    </font>
    <font>
      <i/>
      <sz val="10"/>
      <color rgb="FF555555"/>
      <name val="Arial"/>
      <charset val="1"/>
    </font>
    <font>
      <b/>
      <sz val="10"/>
      <name val="Arial"/>
      <charset val="1"/>
    </font>
    <font>
      <b/>
      <sz val="12"/>
      <color rgb="FF1F4E5A"/>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F4E78"/>
        <bgColor rgb="FF1F4E5A"/>
      </patternFill>
    </fill>
    <fill>
      <patternFill patternType="solid">
        <fgColor rgb="FFD9EAF7"/>
        <bgColor rgb="FFE8F1F2"/>
      </patternFill>
    </fill>
    <fill>
      <patternFill patternType="solid">
        <fgColor rgb="FFE2F0D9"/>
        <bgColor rgb="FFE8F1F2"/>
      </patternFill>
    </fill>
    <fill>
      <patternFill patternType="solid">
        <fgColor rgb="FF1F4E5A"/>
        <bgColor rgb="FF1F4E78"/>
      </patternFill>
    </fill>
    <fill>
      <patternFill patternType="solid">
        <fgColor rgb="FFFFF2CC"/>
        <bgColor rgb="FFFCE4D6"/>
      </patternFill>
    </fill>
    <fill>
      <patternFill patternType="solid">
        <fgColor rgb="FFE8F1F2"/>
        <bgColor rgb="FFE2F0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B7B7B7"/>
      </bottom>
      <diagonal/>
    </border>
    <border>
      <left style="thin">
        <color rgb="FFC9D3D6"/>
      </left>
      <right style="thin">
        <color rgb="FFC9D3D6"/>
      </right>
      <top style="thin">
        <color rgb="FFC9D3D6"/>
      </top>
      <bottom style="thin">
        <color rgb="FFC9D3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xf numFmtId="177" fontId="13" fillId="0" borderId="0"/>
    <xf numFmtId="9" fontId="13" fillId="0" borderId="0"/>
    <xf numFmtId="178" fontId="13" fillId="0" borderId="0"/>
    <xf numFmtId="179" fontId="13" fillId="0" borderId="0"/>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8" borderId="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22" fillId="0" borderId="5" applyNumberFormat="0" applyFill="0" applyAlignment="0" applyProtection="0">
      <alignment vertical="center"/>
    </xf>
    <xf numFmtId="0" fontId="22" fillId="0" borderId="0" applyNumberFormat="0" applyFill="0" applyBorder="0" applyAlignment="0" applyProtection="0">
      <alignment vertical="center"/>
    </xf>
    <xf numFmtId="0" fontId="23" fillId="9" borderId="6" applyNumberFormat="0" applyAlignment="0" applyProtection="0">
      <alignment vertical="center"/>
    </xf>
    <xf numFmtId="0" fontId="24" fillId="10" borderId="7" applyNumberFormat="0" applyAlignment="0" applyProtection="0">
      <alignment vertical="center"/>
    </xf>
    <xf numFmtId="0" fontId="25" fillId="10" borderId="6" applyNumberFormat="0" applyAlignment="0" applyProtection="0">
      <alignment vertical="center"/>
    </xf>
    <xf numFmtId="0" fontId="26" fillId="11" borderId="8" applyNumberFormat="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cellStyleXfs>
  <cellXfs count="30">
    <xf numFmtId="0" fontId="0" fillId="0" borderId="0" xfId="0" applyAlignment="1"/>
    <xf numFmtId="0" fontId="1" fillId="2" borderId="1" xfId="0" applyFont="1" applyFill="1" applyBorder="1" applyAlignment="1">
      <alignment vertical="top"/>
    </xf>
    <xf numFmtId="0" fontId="2" fillId="0" borderId="0" xfId="0" applyFont="1" applyAlignment="1">
      <alignment vertical="top"/>
    </xf>
    <xf numFmtId="0" fontId="0" fillId="0" borderId="0" xfId="0" applyAlignment="1">
      <alignment vertical="top"/>
    </xf>
    <xf numFmtId="0" fontId="3" fillId="2" borderId="0" xfId="0" applyFont="1" applyFill="1" applyAlignment="1">
      <alignment horizontal="center"/>
    </xf>
    <xf numFmtId="0" fontId="2" fillId="0" borderId="0" xfId="0" applyFont="1" applyAlignment="1"/>
    <xf numFmtId="0" fontId="1" fillId="2" borderId="0" xfId="0" applyFont="1" applyFill="1" applyAlignment="1">
      <alignment horizontal="center"/>
    </xf>
    <xf numFmtId="0" fontId="4" fillId="3" borderId="0" xfId="0" applyFont="1" applyFill="1" applyAlignment="1">
      <alignment horizontal="center"/>
    </xf>
    <xf numFmtId="0" fontId="5" fillId="0" borderId="0" xfId="0" applyFont="1" applyAlignment="1"/>
    <xf numFmtId="10" fontId="0" fillId="0" borderId="0" xfId="0" applyNumberFormat="1" applyAlignment="1"/>
    <xf numFmtId="4" fontId="0" fillId="0" borderId="0" xfId="0" applyNumberFormat="1" applyAlignment="1">
      <alignment vertical="top"/>
    </xf>
    <xf numFmtId="0" fontId="0" fillId="4" borderId="0" xfId="0" applyFill="1" applyAlignment="1">
      <alignment vertical="top"/>
    </xf>
    <xf numFmtId="10" fontId="0" fillId="0" borderId="0" xfId="0" applyNumberFormat="1" applyAlignment="1">
      <alignment vertical="top"/>
    </xf>
    <xf numFmtId="0" fontId="0" fillId="0" borderId="1" xfId="0" applyBorder="1"/>
    <xf numFmtId="0" fontId="1" fillId="2" borderId="0" xfId="0" applyFont="1" applyFill="1" applyAlignment="1">
      <alignment vertical="top"/>
    </xf>
    <xf numFmtId="0" fontId="1" fillId="2" borderId="0" xfId="0" applyFont="1" applyFill="1" applyAlignment="1">
      <alignment horizontal="center" wrapText="1"/>
    </xf>
    <xf numFmtId="2" fontId="0" fillId="0" borderId="0" xfId="0" applyNumberFormat="1" applyAlignment="1">
      <alignment vertical="top"/>
    </xf>
    <xf numFmtId="0" fontId="6" fillId="0" borderId="0" xfId="0" applyFont="1" applyAlignment="1">
      <alignment vertical="top" wrapText="1"/>
    </xf>
    <xf numFmtId="0" fontId="7" fillId="5" borderId="2" xfId="0" applyFont="1" applyFill="1" applyBorder="1" applyAlignment="1">
      <alignment vertical="center" wrapText="1"/>
    </xf>
    <xf numFmtId="0" fontId="8" fillId="0" borderId="2" xfId="0" applyFont="1" applyBorder="1" applyAlignment="1">
      <alignment vertical="top" wrapText="1"/>
    </xf>
    <xf numFmtId="180" fontId="8" fillId="6" borderId="2" xfId="0" applyNumberFormat="1" applyFont="1" applyFill="1" applyBorder="1" applyAlignment="1">
      <alignment vertical="top" wrapText="1"/>
    </xf>
    <xf numFmtId="0" fontId="8" fillId="6" borderId="2" xfId="0" applyFont="1" applyFill="1" applyBorder="1" applyAlignment="1">
      <alignment vertical="top" wrapText="1"/>
    </xf>
    <xf numFmtId="0" fontId="1" fillId="2" borderId="2" xfId="0" applyFont="1" applyFill="1" applyBorder="1" applyAlignment="1">
      <alignment horizontal="center" wrapText="1"/>
    </xf>
    <xf numFmtId="3" fontId="8" fillId="0" borderId="0" xfId="0" applyNumberFormat="1" applyFont="1" applyAlignment="1"/>
    <xf numFmtId="0" fontId="9" fillId="0" borderId="0" xfId="0" applyFont="1" applyAlignment="1"/>
    <xf numFmtId="0" fontId="10" fillId="0" borderId="0" xfId="0" applyFont="1" applyAlignment="1"/>
    <xf numFmtId="0" fontId="11" fillId="7" borderId="2" xfId="0" applyFont="1" applyFill="1" applyBorder="1" applyAlignment="1">
      <alignment vertical="top" wrapText="1"/>
    </xf>
    <xf numFmtId="0" fontId="0" fillId="0" borderId="2" xfId="0" applyBorder="1" applyAlignment="1">
      <alignment vertical="top" wrapText="1"/>
    </xf>
    <xf numFmtId="0" fontId="12" fillId="0" borderId="0" xfId="0" applyFont="1" applyAlignment="1"/>
    <xf numFmtId="0" fontId="11"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ill>
        <patternFill patternType="solid">
          <bgColor rgb="FFE2F0D9"/>
        </patternFill>
      </fill>
    </dxf>
    <dxf>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4F81BD"/>
      <rgbColor rgb="009999FF"/>
      <rgbColor rgb="00C0504D"/>
      <rgbColor rgb="00FFF2CC"/>
      <rgbColor rgb="00D9EAF7"/>
      <rgbColor rgb="00660066"/>
      <rgbColor rgb="00FF8080"/>
      <rgbColor rgb="000066CC"/>
      <rgbColor rgb="00C9D3D6"/>
      <rgbColor rgb="00000080"/>
      <rgbColor rgb="00FF00FF"/>
      <rgbColor rgb="00FFFF00"/>
      <rgbColor rgb="0000FFFF"/>
      <rgbColor rgb="00800080"/>
      <rgbColor rgb="00800000"/>
      <rgbColor rgb="00008080"/>
      <rgbColor rgb="000000FF"/>
      <rgbColor rgb="0000CCFF"/>
      <rgbColor rgb="00E8F1F2"/>
      <rgbColor rgb="00E2F0D9"/>
      <rgbColor rgb="00FFFF99"/>
      <rgbColor rgb="00D9D9D9"/>
      <rgbColor rgb="00FF99CC"/>
      <rgbColor rgb="00CC99FF"/>
      <rgbColor rgb="00FCE4D6"/>
      <rgbColor rgb="003366FF"/>
      <rgbColor rgb="0033CCCC"/>
      <rgbColor rgb="009BBB59"/>
      <rgbColor rgb="00FFCC00"/>
      <rgbColor rgb="00FF9900"/>
      <rgbColor rgb="00FF6600"/>
      <rgbColor rgb="00666666"/>
      <rgbColor rgb="00B3B3B3"/>
      <rgbColor rgb="00003366"/>
      <rgbColor rgb="00339966"/>
      <rgbColor rgb="00003300"/>
      <rgbColor rgb="00555555"/>
      <rgbColor rgb="00993300"/>
      <rgbColor rgb="00993366"/>
      <rgbColor rgb="001F4E78"/>
      <rgbColor rgb="00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800" b="1" strike="noStrike">
                <a:solidFill>
                  <a:srgbClr val="000000"/>
                </a:solidFill>
                <a:uFillTx/>
                <a:latin typeface="Calibri" panose="020F0502020204030204"/>
              </a:rPr>
              <a:t>Eligible vs Not Eligible</a:t>
            </a:r>
            <a:endParaRPr sz="1800" b="1" strike="noStrike">
              <a:solidFill>
                <a:srgbClr val="000000"/>
              </a:solidFill>
              <a:uFillTx/>
              <a:latin typeface="Calibri" panose="020F0502020204030204"/>
            </a:endParaRPr>
          </a:p>
        </c:rich>
      </c:tx>
      <c:layout/>
      <c:overlay val="0"/>
      <c:spPr>
        <a:noFill/>
        <a:ln w="0">
          <a:noFill/>
          <a:prstDash val="solid"/>
        </a:ln>
      </c:spPr>
    </c:title>
    <c:autoTitleDeleted val="0"/>
    <c:plotArea>
      <c:layout/>
      <c:barChart>
        <c:barDir val="col"/>
        <c:grouping val="clustered"/>
        <c:varyColors val="0"/>
        <c:ser>
          <c:idx val="0"/>
          <c:order val="0"/>
          <c:tx>
            <c:strRef>
              <c:f>Dashboard!$B$13</c:f>
              <c:strCache>
                <c:ptCount val="1"/>
                <c:pt idx="0">
                  <c:v>Count</c:v>
                </c:pt>
              </c:strCache>
            </c:strRef>
          </c:tx>
          <c:spPr>
            <a:solidFill>
              <a:srgbClr val="4F81BD"/>
            </a:solidFill>
            <a:ln w="0">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Arial" panose="020B0604020202020204"/>
                    <a:ea typeface="+mn-ea"/>
                    <a:cs typeface="+mn-cs"/>
                  </a:defRPr>
                </a:pPr>
              </a:p>
            </c:txPr>
            <c:dLblPos val="outEnd"/>
            <c:showLegendKey val="0"/>
            <c:showVal val="0"/>
            <c:showCatName val="0"/>
            <c:showSerName val="0"/>
            <c:showPercent val="0"/>
            <c:showBubbleSize val="1"/>
            <c:showLeaderLines val="0"/>
            <c:extLst>
              <c:ext xmlns:c15="http://schemas.microsoft.com/office/drawing/2012/chart" uri="{CE6537A1-D6FC-4f65-9D91-7224C49458BB}">
                <c15:layout/>
                <c15:showLeaderLines val="1"/>
                <c15:leaderLines/>
              </c:ext>
            </c:extLst>
          </c:dLbls>
          <c:cat>
            <c:strRef>
              <c:f>Dashboard!$A$14:$A$15</c:f>
              <c:strCache>
                <c:ptCount val="2"/>
                <c:pt idx="0">
                  <c:v>Eligible</c:v>
                </c:pt>
                <c:pt idx="1">
                  <c:v>Not Eligible</c:v>
                </c:pt>
              </c:strCache>
            </c:strRef>
          </c:cat>
          <c:val>
            <c:numRef>
              <c:f>Dashboard!$B$14:$B$15</c:f>
              <c:numCache>
                <c:formatCode>General</c:formatCode>
                <c:ptCount val="2"/>
                <c:pt idx="0">
                  <c:v>203</c:v>
                </c:pt>
                <c:pt idx="1">
                  <c:v>297</c:v>
                </c:pt>
              </c:numCache>
            </c:numRef>
          </c:val>
        </c:ser>
        <c:dLbls>
          <c:showLegendKey val="0"/>
          <c:showVal val="0"/>
          <c:showCatName val="0"/>
          <c:showSerName val="0"/>
          <c:showPercent val="0"/>
          <c:showBubbleSize val="1"/>
        </c:dLbls>
        <c:gapWidth val="150"/>
        <c:overlap val="0"/>
        <c:axId val="15074443"/>
        <c:axId val="87166591"/>
      </c:barChart>
      <c:catAx>
        <c:axId val="15074443"/>
        <c:scaling>
          <c:orientation val="minMax"/>
        </c:scaling>
        <c:delete val="0"/>
        <c:axPos val="b"/>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000" b="1" strike="noStrike">
                    <a:solidFill>
                      <a:srgbClr val="000000"/>
                    </a:solidFill>
                    <a:uFillTx/>
                    <a:latin typeface="Calibri" panose="020F0502020204030204"/>
                  </a:rPr>
                  <a:t>Decision</a:t>
                </a:r>
                <a:endParaRPr sz="1000" b="1" strike="noStrike">
                  <a:solidFill>
                    <a:srgbClr val="000000"/>
                  </a:solidFill>
                  <a:uFillTx/>
                  <a:latin typeface="Calibri" panose="020F0502020204030204"/>
                </a:endParaRPr>
              </a:p>
            </c:rich>
          </c:tx>
          <c:layout/>
          <c:overlay val="0"/>
          <c:spPr>
            <a:noFill/>
            <a:ln w="0">
              <a:noFill/>
              <a:prstDash val="solid"/>
            </a:ln>
          </c:spPr>
        </c:title>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crossAx val="87166591"/>
        <c:crosses val="autoZero"/>
        <c:auto val="1"/>
        <c:lblAlgn val="ctr"/>
        <c:lblOffset val="100"/>
        <c:noMultiLvlLbl val="0"/>
      </c:catAx>
      <c:valAx>
        <c:axId val="87166591"/>
        <c:scaling>
          <c:orientation val="minMax"/>
        </c:scaling>
        <c:delete val="0"/>
        <c:axPos val="l"/>
        <c:majorGridlines>
          <c:spPr>
            <a:ln w="0" cap="flat" cmpd="sng" algn="ctr">
              <a:solidFill>
                <a:srgbClr val="B3B3B3"/>
              </a:solidFill>
              <a:prstDash val="solid"/>
              <a:round/>
            </a:ln>
          </c:spPr>
        </c:majorGridlines>
        <c:title>
          <c:tx>
            <c:rich>
              <a:bodyPr rot="-540000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000" b="1" strike="noStrike">
                    <a:solidFill>
                      <a:srgbClr val="000000"/>
                    </a:solidFill>
                    <a:uFillTx/>
                    <a:latin typeface="Calibri" panose="020F0502020204030204"/>
                  </a:rPr>
                  <a:t>Applications</a:t>
                </a:r>
                <a:endParaRPr sz="1000" b="1" strike="noStrike">
                  <a:solidFill>
                    <a:srgbClr val="000000"/>
                  </a:solidFill>
                  <a:uFillTx/>
                  <a:latin typeface="Calibri" panose="020F0502020204030204"/>
                </a:endParaRPr>
              </a:p>
            </c:rich>
          </c:tx>
          <c:layout/>
          <c:overlay val="0"/>
          <c:spPr>
            <a:noFill/>
            <a:ln w="0">
              <a:noFill/>
              <a:prstDash val="solid"/>
            </a:ln>
          </c:spPr>
        </c:title>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crossAx val="15074443"/>
        <c:crosses val="autoZero"/>
        <c:crossBetween val="between"/>
      </c:valAx>
    </c:plotArea>
    <c:legend>
      <c:legendPos val="r"/>
      <c:layout/>
      <c:overlay val="0"/>
      <c:spPr>
        <a:noFill/>
        <a:ln w="0">
          <a:noFill/>
          <a:prstDash val="solid"/>
        </a:ln>
      </c:spPr>
      <c:txPr>
        <a:bodyPr rot="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legend>
    <c:plotVisOnly val="1"/>
    <c:dispBlanksAs val="gap"/>
    <c:showDLblsOverMax val="0"/>
    <c:extLst>
      <c:ext uri="{0b15fc19-7d7d-44ad-8c2d-2c3a37ce22c3}">
        <chartProps xmlns="https://web.wps.cn/et/2018/main" chartId="{5565e225-c01d-4131-b8c8-6aacc1db2254}"/>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800" b="1" strike="noStrike">
                <a:solidFill>
                  <a:srgbClr val="000000"/>
                </a:solidFill>
                <a:uFillTx/>
                <a:latin typeface="Calibri" panose="020F0502020204030204"/>
              </a:rPr>
              <a:t>Default vs Non-default</a:t>
            </a:r>
            <a:endParaRPr sz="1800" b="1" strike="noStrike">
              <a:solidFill>
                <a:srgbClr val="000000"/>
              </a:solidFill>
              <a:uFillTx/>
              <a:latin typeface="Calibri" panose="020F0502020204030204"/>
            </a:endParaRPr>
          </a:p>
        </c:rich>
      </c:tx>
      <c:layout/>
      <c:overlay val="0"/>
      <c:spPr>
        <a:noFill/>
        <a:ln w="0">
          <a:noFill/>
          <a:prstDash val="solid"/>
        </a:ln>
      </c:spPr>
    </c:title>
    <c:autoTitleDeleted val="0"/>
    <c:plotArea>
      <c:layout/>
      <c:pieChart>
        <c:varyColors val="1"/>
        <c:ser>
          <c:idx val="0"/>
          <c:order val="0"/>
          <c:tx>
            <c:strRef>
              <c:f>Dashboard!$B$19</c:f>
              <c:strCache>
                <c:ptCount val="1"/>
                <c:pt idx="0">
                  <c:v>Count</c:v>
                </c:pt>
              </c:strCache>
            </c:strRef>
          </c:tx>
          <c:spPr>
            <a:solidFill>
              <a:srgbClr val="4F81BD"/>
            </a:solidFill>
            <a:ln w="0">
              <a:noFill/>
              <a:prstDash val="solid"/>
            </a:ln>
          </c:spPr>
          <c:explosion val="0"/>
          <c:dPt>
            <c:idx val="0"/>
            <c:bubble3D val="0"/>
            <c:spPr>
              <a:solidFill>
                <a:srgbClr val="4F81BD"/>
              </a:solidFill>
              <a:ln w="0">
                <a:noFill/>
                <a:prstDash val="solid"/>
              </a:ln>
            </c:spPr>
          </c:dPt>
          <c:dPt>
            <c:idx val="1"/>
            <c:bubble3D val="0"/>
            <c:spPr>
              <a:solidFill>
                <a:srgbClr val="C0504D"/>
              </a:solidFill>
              <a:ln w="0">
                <a:noFill/>
                <a:prstDash val="solid"/>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Calibri" panose="020F0502020204030204"/>
                      <a:ea typeface="+mn-ea"/>
                      <a:cs typeface="+mn-cs"/>
                    </a:defRPr>
                  </a:pPr>
                </a:p>
              </c:txPr>
              <c:dLblPos val="bestFit"/>
              <c:showLegendKey val="1"/>
              <c:showVal val="1"/>
              <c:showCatName val="1"/>
              <c:showSerName val="1"/>
              <c:showPercent val="1"/>
              <c:showBubbleSize val="1"/>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Calibri" panose="020F0502020204030204"/>
                      <a:ea typeface="+mn-ea"/>
                      <a:cs typeface="+mn-cs"/>
                    </a:defRPr>
                  </a:pPr>
                </a:p>
              </c:txPr>
              <c:dLblPos val="bestFit"/>
              <c:showLegendKey val="1"/>
              <c:showVal val="1"/>
              <c:showCatName val="1"/>
              <c:showSerName val="1"/>
              <c:showPercent val="1"/>
              <c:showBubbleSize val="1"/>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Calibri" panose="020F0502020204030204"/>
                    <a:ea typeface="+mn-ea"/>
                    <a:cs typeface="+mn-cs"/>
                  </a:defRPr>
                </a:pPr>
              </a:p>
            </c:txPr>
            <c:dLblPos val="bestFit"/>
            <c:showLegendKey val="1"/>
            <c:showVal val="1"/>
            <c:showCatName val="1"/>
            <c:showSerName val="1"/>
            <c:showPercent val="1"/>
            <c:showBubbleSize val="1"/>
            <c:showLeaderLines val="1"/>
            <c:extLst>
              <c:ext xmlns:c15="http://schemas.microsoft.com/office/drawing/2012/chart" uri="{CE6537A1-D6FC-4f65-9D91-7224C49458BB}">
                <c15:layout/>
                <c15:showLeaderLines val="1"/>
                <c15:leaderLines/>
              </c:ext>
            </c:extLst>
          </c:dLbls>
          <c:cat>
            <c:strRef>
              <c:f>Dashboard!$A$20:$A$21</c:f>
              <c:strCache>
                <c:ptCount val="2"/>
                <c:pt idx="0">
                  <c:v>Default</c:v>
                </c:pt>
                <c:pt idx="1">
                  <c:v>Non-default</c:v>
                </c:pt>
              </c:strCache>
            </c:strRef>
          </c:cat>
          <c:val>
            <c:numRef>
              <c:f>Dashboard!$B$20:$B$21</c:f>
              <c:numCache>
                <c:formatCode>General</c:formatCode>
                <c:ptCount val="2"/>
                <c:pt idx="0">
                  <c:v>43</c:v>
                </c:pt>
                <c:pt idx="1">
                  <c:v>457</c:v>
                </c:pt>
              </c:numCache>
            </c:numRef>
          </c:val>
        </c:ser>
        <c:dLbls>
          <c:showLegendKey val="1"/>
          <c:showVal val="1"/>
          <c:showCatName val="1"/>
          <c:showSerName val="1"/>
          <c:showPercent val="1"/>
          <c:showBubbleSize val="1"/>
          <c:showLeaderLines val="1"/>
        </c:dLbls>
        <c:firstSliceAng val="0"/>
      </c:pieChart>
    </c:plotArea>
    <c:legend>
      <c:legendPos val="r"/>
      <c:layout/>
      <c:overlay val="0"/>
      <c:spPr>
        <a:noFill/>
        <a:ln w="0">
          <a:noFill/>
          <a:prstDash val="solid"/>
        </a:ln>
      </c:spPr>
      <c:txPr>
        <a:bodyPr rot="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legend>
    <c:plotVisOnly val="1"/>
    <c:dispBlanksAs val="gap"/>
    <c:showDLblsOverMax val="0"/>
    <c:extLst>
      <c:ext uri="{0b15fc19-7d7d-44ad-8c2d-2c3a37ce22c3}">
        <chartProps xmlns="https://web.wps.cn/et/2018/main" chartId="{5d175f2e-081a-44bc-bc05-b567f016d227}"/>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800" b="1" strike="noStrike">
                <a:solidFill>
                  <a:srgbClr val="000000"/>
                </a:solidFill>
                <a:uFillTx/>
                <a:latin typeface="Calibri" panose="020F0502020204030204"/>
              </a:rPr>
              <a:t>Credit Score Distribution</a:t>
            </a:r>
            <a:endParaRPr sz="1800" b="1" strike="noStrike">
              <a:solidFill>
                <a:srgbClr val="000000"/>
              </a:solidFill>
              <a:uFillTx/>
              <a:latin typeface="Calibri" panose="020F0502020204030204"/>
            </a:endParaRPr>
          </a:p>
        </c:rich>
      </c:tx>
      <c:layout/>
      <c:overlay val="0"/>
      <c:spPr>
        <a:noFill/>
        <a:ln w="0">
          <a:noFill/>
          <a:prstDash val="solid"/>
        </a:ln>
      </c:spPr>
    </c:title>
    <c:autoTitleDeleted val="0"/>
    <c:plotArea>
      <c:layout/>
      <c:barChart>
        <c:barDir val="col"/>
        <c:grouping val="clustered"/>
        <c:varyColors val="0"/>
        <c:ser>
          <c:idx val="0"/>
          <c:order val="0"/>
          <c:tx>
            <c:strRef>
              <c:f>Dashboard!$K$6</c:f>
              <c:strCache>
                <c:ptCount val="1"/>
                <c:pt idx="0">
                  <c:v>Count</c:v>
                </c:pt>
              </c:strCache>
            </c:strRef>
          </c:tx>
          <c:spPr>
            <a:solidFill>
              <a:srgbClr val="4F81BD"/>
            </a:solidFill>
            <a:ln w="0">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Arial" panose="020B0604020202020204"/>
                    <a:ea typeface="+mn-ea"/>
                    <a:cs typeface="+mn-cs"/>
                  </a:defRPr>
                </a:pPr>
              </a:p>
            </c:txPr>
            <c:dLblPos val="outEnd"/>
            <c:showLegendKey val="0"/>
            <c:showVal val="0"/>
            <c:showCatName val="0"/>
            <c:showSerName val="0"/>
            <c:showPercent val="0"/>
            <c:showBubbleSize val="1"/>
            <c:showLeaderLines val="0"/>
            <c:extLst>
              <c:ext xmlns:c15="http://schemas.microsoft.com/office/drawing/2012/chart" uri="{CE6537A1-D6FC-4f65-9D91-7224C49458BB}">
                <c15:layout/>
                <c15:showLeaderLines val="1"/>
                <c15:leaderLines/>
              </c:ext>
            </c:extLst>
          </c:dLbls>
          <c:cat>
            <c:strRef>
              <c:f>Dashboard!$J$7:$J$11</c:f>
              <c:strCache>
                <c:ptCount val="5"/>
                <c:pt idx="0">
                  <c:v>&lt;650</c:v>
                </c:pt>
                <c:pt idx="1">
                  <c:v>650-699</c:v>
                </c:pt>
                <c:pt idx="2">
                  <c:v>700-749</c:v>
                </c:pt>
                <c:pt idx="3">
                  <c:v>750-799</c:v>
                </c:pt>
                <c:pt idx="4">
                  <c:v>800+</c:v>
                </c:pt>
              </c:strCache>
            </c:strRef>
          </c:cat>
          <c:val>
            <c:numRef>
              <c:f>Dashboard!$K$7:$K$11</c:f>
              <c:numCache>
                <c:formatCode>General</c:formatCode>
                <c:ptCount val="5"/>
                <c:pt idx="0">
                  <c:v>56</c:v>
                </c:pt>
                <c:pt idx="1">
                  <c:v>121</c:v>
                </c:pt>
                <c:pt idx="2">
                  <c:v>160</c:v>
                </c:pt>
                <c:pt idx="3">
                  <c:v>121</c:v>
                </c:pt>
                <c:pt idx="4">
                  <c:v>42</c:v>
                </c:pt>
              </c:numCache>
            </c:numRef>
          </c:val>
        </c:ser>
        <c:dLbls>
          <c:showLegendKey val="0"/>
          <c:showVal val="0"/>
          <c:showCatName val="0"/>
          <c:showSerName val="0"/>
          <c:showPercent val="0"/>
          <c:showBubbleSize val="1"/>
        </c:dLbls>
        <c:gapWidth val="150"/>
        <c:overlap val="0"/>
        <c:axId val="31313670"/>
        <c:axId val="20562002"/>
      </c:barChart>
      <c:catAx>
        <c:axId val="31313670"/>
        <c:scaling>
          <c:orientation val="minMax"/>
        </c:scaling>
        <c:delete val="0"/>
        <c:axPos val="b"/>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000" b="1" strike="noStrike">
                    <a:solidFill>
                      <a:srgbClr val="000000"/>
                    </a:solidFill>
                    <a:uFillTx/>
                    <a:latin typeface="Calibri" panose="020F0502020204030204"/>
                  </a:rPr>
                  <a:t>Credit score band</a:t>
                </a:r>
                <a:endParaRPr sz="1000" b="1" strike="noStrike">
                  <a:solidFill>
                    <a:srgbClr val="000000"/>
                  </a:solidFill>
                  <a:uFillTx/>
                  <a:latin typeface="Calibri" panose="020F0502020204030204"/>
                </a:endParaRPr>
              </a:p>
            </c:rich>
          </c:tx>
          <c:layout/>
          <c:overlay val="0"/>
          <c:spPr>
            <a:noFill/>
            <a:ln w="0">
              <a:noFill/>
              <a:prstDash val="solid"/>
            </a:ln>
          </c:spPr>
        </c:title>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crossAx val="20562002"/>
        <c:crosses val="autoZero"/>
        <c:auto val="1"/>
        <c:lblAlgn val="ctr"/>
        <c:lblOffset val="100"/>
        <c:noMultiLvlLbl val="0"/>
      </c:catAx>
      <c:valAx>
        <c:axId val="20562002"/>
        <c:scaling>
          <c:orientation val="minMax"/>
        </c:scaling>
        <c:delete val="0"/>
        <c:axPos val="l"/>
        <c:majorGridlines>
          <c:spPr>
            <a:ln w="0" cap="flat" cmpd="sng" algn="ctr">
              <a:solidFill>
                <a:srgbClr val="B3B3B3"/>
              </a:solidFill>
              <a:prstDash val="solid"/>
              <a:round/>
            </a:ln>
          </c:spPr>
        </c:majorGridlines>
        <c:title>
          <c:tx>
            <c:rich>
              <a:bodyPr rot="-540000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000" b="1" strike="noStrike">
                    <a:solidFill>
                      <a:srgbClr val="000000"/>
                    </a:solidFill>
                    <a:uFillTx/>
                    <a:latin typeface="Calibri" panose="020F0502020204030204"/>
                  </a:rPr>
                  <a:t>Applications</a:t>
                </a:r>
                <a:endParaRPr sz="1000" b="1" strike="noStrike">
                  <a:solidFill>
                    <a:srgbClr val="000000"/>
                  </a:solidFill>
                  <a:uFillTx/>
                  <a:latin typeface="Calibri" panose="020F0502020204030204"/>
                </a:endParaRPr>
              </a:p>
            </c:rich>
          </c:tx>
          <c:layout/>
          <c:overlay val="0"/>
          <c:spPr>
            <a:noFill/>
            <a:ln w="0">
              <a:noFill/>
              <a:prstDash val="solid"/>
            </a:ln>
          </c:spPr>
        </c:title>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crossAx val="31313670"/>
        <c:crosses val="autoZero"/>
        <c:crossBetween val="between"/>
      </c:valAx>
    </c:plotArea>
    <c:legend>
      <c:legendPos val="r"/>
      <c:layout/>
      <c:overlay val="0"/>
      <c:spPr>
        <a:noFill/>
        <a:ln w="0">
          <a:noFill/>
          <a:prstDash val="solid"/>
        </a:ln>
      </c:spPr>
      <c:txPr>
        <a:bodyPr rot="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legend>
    <c:plotVisOnly val="1"/>
    <c:dispBlanksAs val="gap"/>
    <c:showDLblsOverMax val="0"/>
    <c:extLst>
      <c:ext uri="{0b15fc19-7d7d-44ad-8c2d-2c3a37ce22c3}">
        <chartProps xmlns="https://web.wps.cn/et/2018/main" chartId="{0f3ab0e0-6552-4457-92a0-efd23c05405c}"/>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800" b="1" strike="noStrike">
                <a:solidFill>
                  <a:srgbClr val="000000"/>
                </a:solidFill>
                <a:uFillTx/>
                <a:latin typeface="Calibri" panose="020F0502020204030204"/>
              </a:rPr>
              <a:t>FOIR Distribution</a:t>
            </a:r>
            <a:endParaRPr sz="1800" b="1" strike="noStrike">
              <a:solidFill>
                <a:srgbClr val="000000"/>
              </a:solidFill>
              <a:uFillTx/>
              <a:latin typeface="Calibri" panose="020F0502020204030204"/>
            </a:endParaRPr>
          </a:p>
        </c:rich>
      </c:tx>
      <c:layout/>
      <c:overlay val="0"/>
      <c:spPr>
        <a:noFill/>
        <a:ln w="0">
          <a:noFill/>
          <a:prstDash val="solid"/>
        </a:ln>
      </c:spPr>
    </c:title>
    <c:autoTitleDeleted val="0"/>
    <c:plotArea>
      <c:layout/>
      <c:barChart>
        <c:barDir val="col"/>
        <c:grouping val="clustered"/>
        <c:varyColors val="0"/>
        <c:ser>
          <c:idx val="0"/>
          <c:order val="0"/>
          <c:tx>
            <c:strRef>
              <c:f>Dashboard!$K$15</c:f>
              <c:strCache>
                <c:ptCount val="1"/>
                <c:pt idx="0">
                  <c:v>Count</c:v>
                </c:pt>
              </c:strCache>
            </c:strRef>
          </c:tx>
          <c:spPr>
            <a:solidFill>
              <a:srgbClr val="4F81BD"/>
            </a:solidFill>
            <a:ln w="0">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Arial" panose="020B0604020202020204"/>
                    <a:ea typeface="+mn-ea"/>
                    <a:cs typeface="+mn-cs"/>
                  </a:defRPr>
                </a:pPr>
              </a:p>
            </c:txPr>
            <c:dLblPos val="outEnd"/>
            <c:showLegendKey val="0"/>
            <c:showVal val="0"/>
            <c:showCatName val="0"/>
            <c:showSerName val="0"/>
            <c:showPercent val="0"/>
            <c:showBubbleSize val="1"/>
            <c:showLeaderLines val="0"/>
            <c:extLst>
              <c:ext xmlns:c15="http://schemas.microsoft.com/office/drawing/2012/chart" uri="{CE6537A1-D6FC-4f65-9D91-7224C49458BB}">
                <c15:layout/>
                <c15:showLeaderLines val="1"/>
                <c15:leaderLines/>
              </c:ext>
            </c:extLst>
          </c:dLbls>
          <c:cat>
            <c:strRef>
              <c:f>Dashboard!$J$16:$J$21</c:f>
              <c:strCache>
                <c:ptCount val="6"/>
                <c:pt idx="0">
                  <c:v>&lt;30%</c:v>
                </c:pt>
                <c:pt idx="1">
                  <c:v>30-39.99%</c:v>
                </c:pt>
                <c:pt idx="2">
                  <c:v>40-49.99%</c:v>
                </c:pt>
                <c:pt idx="3">
                  <c:v>50-59.99%</c:v>
                </c:pt>
                <c:pt idx="4">
                  <c:v>60-69.99%</c:v>
                </c:pt>
                <c:pt idx="5">
                  <c:v>70%+</c:v>
                </c:pt>
              </c:strCache>
            </c:strRef>
          </c:cat>
          <c:val>
            <c:numRef>
              <c:f>Dashboard!$K$16:$K$21</c:f>
              <c:numCache>
                <c:formatCode>General</c:formatCode>
                <c:ptCount val="6"/>
                <c:pt idx="0">
                  <c:v>173</c:v>
                </c:pt>
                <c:pt idx="1">
                  <c:v>68</c:v>
                </c:pt>
                <c:pt idx="2">
                  <c:v>67</c:v>
                </c:pt>
                <c:pt idx="3">
                  <c:v>58</c:v>
                </c:pt>
                <c:pt idx="4">
                  <c:v>46</c:v>
                </c:pt>
                <c:pt idx="5">
                  <c:v>88</c:v>
                </c:pt>
              </c:numCache>
            </c:numRef>
          </c:val>
        </c:ser>
        <c:dLbls>
          <c:showLegendKey val="0"/>
          <c:showVal val="0"/>
          <c:showCatName val="0"/>
          <c:showSerName val="0"/>
          <c:showPercent val="0"/>
          <c:showBubbleSize val="1"/>
        </c:dLbls>
        <c:gapWidth val="150"/>
        <c:overlap val="0"/>
        <c:axId val="68839945"/>
        <c:axId val="13779304"/>
      </c:barChart>
      <c:catAx>
        <c:axId val="68839945"/>
        <c:scaling>
          <c:orientation val="minMax"/>
        </c:scaling>
        <c:delete val="0"/>
        <c:axPos val="b"/>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000" b="1" strike="noStrike">
                    <a:solidFill>
                      <a:srgbClr val="000000"/>
                    </a:solidFill>
                    <a:uFillTx/>
                    <a:latin typeface="Calibri" panose="020F0502020204030204"/>
                  </a:rPr>
                  <a:t>FOIR band</a:t>
                </a:r>
                <a:endParaRPr sz="1000" b="1" strike="noStrike">
                  <a:solidFill>
                    <a:srgbClr val="000000"/>
                  </a:solidFill>
                  <a:uFillTx/>
                  <a:latin typeface="Calibri" panose="020F0502020204030204"/>
                </a:endParaRPr>
              </a:p>
            </c:rich>
          </c:tx>
          <c:layout/>
          <c:overlay val="0"/>
          <c:spPr>
            <a:noFill/>
            <a:ln w="0">
              <a:noFill/>
              <a:prstDash val="solid"/>
            </a:ln>
          </c:spPr>
        </c:title>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crossAx val="13779304"/>
        <c:crosses val="autoZero"/>
        <c:auto val="1"/>
        <c:lblAlgn val="ctr"/>
        <c:lblOffset val="100"/>
        <c:noMultiLvlLbl val="0"/>
      </c:catAx>
      <c:valAx>
        <c:axId val="13779304"/>
        <c:scaling>
          <c:orientation val="minMax"/>
        </c:scaling>
        <c:delete val="0"/>
        <c:axPos val="l"/>
        <c:majorGridlines>
          <c:spPr>
            <a:ln w="0" cap="flat" cmpd="sng" algn="ctr">
              <a:solidFill>
                <a:srgbClr val="B3B3B3"/>
              </a:solidFill>
              <a:prstDash val="solid"/>
              <a:round/>
            </a:ln>
          </c:spPr>
        </c:majorGridlines>
        <c:title>
          <c:tx>
            <c:rich>
              <a:bodyPr rot="-540000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000" b="1" strike="noStrike">
                    <a:solidFill>
                      <a:srgbClr val="000000"/>
                    </a:solidFill>
                    <a:uFillTx/>
                    <a:latin typeface="Calibri" panose="020F0502020204030204"/>
                  </a:rPr>
                  <a:t>Applications</a:t>
                </a:r>
                <a:endParaRPr sz="1000" b="1" strike="noStrike">
                  <a:solidFill>
                    <a:srgbClr val="000000"/>
                  </a:solidFill>
                  <a:uFillTx/>
                  <a:latin typeface="Calibri" panose="020F0502020204030204"/>
                </a:endParaRPr>
              </a:p>
            </c:rich>
          </c:tx>
          <c:layout/>
          <c:overlay val="0"/>
          <c:spPr>
            <a:noFill/>
            <a:ln w="0">
              <a:noFill/>
              <a:prstDash val="solid"/>
            </a:ln>
          </c:spPr>
        </c:title>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crossAx val="68839945"/>
        <c:crosses val="autoZero"/>
        <c:crossBetween val="between"/>
      </c:valAx>
    </c:plotArea>
    <c:legend>
      <c:legendPos val="r"/>
      <c:layout/>
      <c:overlay val="0"/>
      <c:spPr>
        <a:noFill/>
        <a:ln w="0">
          <a:noFill/>
          <a:prstDash val="solid"/>
        </a:ln>
      </c:spPr>
      <c:txPr>
        <a:bodyPr rot="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legend>
    <c:plotVisOnly val="1"/>
    <c:dispBlanksAs val="gap"/>
    <c:showDLblsOverMax val="0"/>
    <c:extLst>
      <c:ext uri="{0b15fc19-7d7d-44ad-8c2d-2c3a37ce22c3}">
        <chartProps xmlns="https://web.wps.cn/et/2018/main" chartId="{cce08a58-2244-4782-af2a-fbddf99b6cc4}"/>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800" b="1" strike="noStrike">
                <a:solidFill>
                  <a:srgbClr val="000000"/>
                </a:solidFill>
                <a:uFillTx/>
                <a:latin typeface="Calibri" panose="020F0502020204030204"/>
              </a:rPr>
              <a:t>Selected Rule Comparison</a:t>
            </a:r>
            <a:endParaRPr sz="1800" b="1" strike="noStrike">
              <a:solidFill>
                <a:srgbClr val="000000"/>
              </a:solidFill>
              <a:uFillTx/>
              <a:latin typeface="Calibri" panose="020F0502020204030204"/>
            </a:endParaRPr>
          </a:p>
        </c:rich>
      </c:tx>
      <c:layout/>
      <c:overlay val="0"/>
      <c:spPr>
        <a:noFill/>
        <a:ln w="0">
          <a:noFill/>
          <a:prstDash val="solid"/>
        </a:ln>
      </c:spPr>
    </c:title>
    <c:autoTitleDeleted val="0"/>
    <c:plotArea>
      <c:layout/>
      <c:barChart>
        <c:barDir val="col"/>
        <c:grouping val="clustered"/>
        <c:varyColors val="0"/>
        <c:ser>
          <c:idx val="0"/>
          <c:order val="0"/>
          <c:tx>
            <c:strRef>
              <c:f>Dashboard!$B$32</c:f>
              <c:strCache>
                <c:ptCount val="1"/>
                <c:pt idx="0">
                  <c:v>Eligible</c:v>
                </c:pt>
              </c:strCache>
            </c:strRef>
          </c:tx>
          <c:spPr>
            <a:solidFill>
              <a:srgbClr val="4F81BD"/>
            </a:solidFill>
            <a:ln w="0">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Arial" panose="020B0604020202020204"/>
                    <a:ea typeface="+mn-ea"/>
                    <a:cs typeface="+mn-cs"/>
                  </a:defRPr>
                </a:pPr>
              </a:p>
            </c:txPr>
            <c:dLblPos val="outEnd"/>
            <c:showLegendKey val="0"/>
            <c:showVal val="0"/>
            <c:showCatName val="0"/>
            <c:showSerName val="0"/>
            <c:showPercent val="0"/>
            <c:showBubbleSize val="1"/>
            <c:showLeaderLines val="0"/>
            <c:extLst>
              <c:ext xmlns:c15="http://schemas.microsoft.com/office/drawing/2012/chart" uri="{CE6537A1-D6FC-4f65-9D91-7224C49458BB}">
                <c15:layout/>
                <c15:showLeaderLines val="1"/>
                <c15:leaderLines/>
              </c:ext>
            </c:extLst>
          </c:dLbls>
          <c:cat>
            <c:strRef>
              <c:f>Dashboard!$A$33:$A$36</c:f>
              <c:strCache>
                <c:ptCount val="4"/>
                <c:pt idx="0">
                  <c:v>50% / 700</c:v>
                </c:pt>
                <c:pt idx="1">
                  <c:v>55% / 700</c:v>
                </c:pt>
                <c:pt idx="2">
                  <c:v>50% / 725</c:v>
                </c:pt>
                <c:pt idx="3">
                  <c:v>40% / 650</c:v>
                </c:pt>
              </c:strCache>
            </c:strRef>
          </c:cat>
          <c:val>
            <c:numRef>
              <c:f>Dashboard!$B$33:$B$36</c:f>
              <c:numCache>
                <c:formatCode>General</c:formatCode>
                <c:ptCount val="4"/>
                <c:pt idx="0">
                  <c:v>203</c:v>
                </c:pt>
                <c:pt idx="1">
                  <c:v>224</c:v>
                </c:pt>
                <c:pt idx="2">
                  <c:v>145</c:v>
                </c:pt>
                <c:pt idx="3">
                  <c:v>216</c:v>
                </c:pt>
              </c:numCache>
            </c:numRef>
          </c:val>
        </c:ser>
        <c:ser>
          <c:idx val="1"/>
          <c:order val="1"/>
          <c:tx>
            <c:strRef>
              <c:f>Dashboard!$C$32</c:f>
              <c:strCache>
                <c:ptCount val="1"/>
                <c:pt idx="0">
                  <c:v>Good rejected</c:v>
                </c:pt>
              </c:strCache>
            </c:strRef>
          </c:tx>
          <c:spPr>
            <a:solidFill>
              <a:srgbClr val="C0504D"/>
            </a:solidFill>
            <a:ln w="0">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Arial" panose="020B0604020202020204"/>
                    <a:ea typeface="+mn-ea"/>
                    <a:cs typeface="+mn-cs"/>
                  </a:defRPr>
                </a:pPr>
              </a:p>
            </c:txPr>
            <c:dLblPos val="outEnd"/>
            <c:showLegendKey val="0"/>
            <c:showVal val="0"/>
            <c:showCatName val="0"/>
            <c:showSerName val="0"/>
            <c:showPercent val="0"/>
            <c:showBubbleSize val="1"/>
            <c:showLeaderLines val="0"/>
            <c:extLst>
              <c:ext xmlns:c15="http://schemas.microsoft.com/office/drawing/2012/chart" uri="{CE6537A1-D6FC-4f65-9D91-7224C49458BB}">
                <c15:layout/>
                <c15:showLeaderLines val="1"/>
                <c15:leaderLines/>
              </c:ext>
            </c:extLst>
          </c:dLbls>
          <c:cat>
            <c:strRef>
              <c:f>Dashboard!$A$33:$A$36</c:f>
              <c:strCache>
                <c:ptCount val="4"/>
                <c:pt idx="0">
                  <c:v>50% / 700</c:v>
                </c:pt>
                <c:pt idx="1">
                  <c:v>55% / 700</c:v>
                </c:pt>
                <c:pt idx="2">
                  <c:v>50% / 725</c:v>
                </c:pt>
                <c:pt idx="3">
                  <c:v>40% / 650</c:v>
                </c:pt>
              </c:strCache>
            </c:strRef>
          </c:cat>
          <c:val>
            <c:numRef>
              <c:f>Dashboard!$C$33:$C$36</c:f>
              <c:numCache>
                <c:formatCode>General</c:formatCode>
                <c:ptCount val="4"/>
                <c:pt idx="0">
                  <c:v>263</c:v>
                </c:pt>
                <c:pt idx="1">
                  <c:v>243</c:v>
                </c:pt>
                <c:pt idx="2">
                  <c:v>318</c:v>
                </c:pt>
                <c:pt idx="3">
                  <c:v>247</c:v>
                </c:pt>
              </c:numCache>
            </c:numRef>
          </c:val>
        </c:ser>
        <c:ser>
          <c:idx val="2"/>
          <c:order val="2"/>
          <c:tx>
            <c:strRef>
              <c:f>Dashboard!$D$32</c:f>
              <c:strCache>
                <c:ptCount val="1"/>
                <c:pt idx="0">
                  <c:v>Defaults accepted</c:v>
                </c:pt>
              </c:strCache>
            </c:strRef>
          </c:tx>
          <c:spPr>
            <a:solidFill>
              <a:srgbClr val="9BBB59"/>
            </a:solidFill>
            <a:ln w="0">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uFillTx/>
                    <a:latin typeface="Arial" panose="020B0604020202020204"/>
                    <a:ea typeface="+mn-ea"/>
                    <a:cs typeface="+mn-cs"/>
                  </a:defRPr>
                </a:pPr>
              </a:p>
            </c:txPr>
            <c:dLblPos val="outEnd"/>
            <c:showLegendKey val="0"/>
            <c:showVal val="0"/>
            <c:showCatName val="0"/>
            <c:showSerName val="0"/>
            <c:showPercent val="0"/>
            <c:showBubbleSize val="1"/>
            <c:showLeaderLines val="0"/>
            <c:extLst>
              <c:ext xmlns:c15="http://schemas.microsoft.com/office/drawing/2012/chart" uri="{CE6537A1-D6FC-4f65-9D91-7224C49458BB}">
                <c15:layout/>
                <c15:showLeaderLines val="1"/>
                <c15:leaderLines/>
              </c:ext>
            </c:extLst>
          </c:dLbls>
          <c:cat>
            <c:strRef>
              <c:f>Dashboard!$A$33:$A$36</c:f>
              <c:strCache>
                <c:ptCount val="4"/>
                <c:pt idx="0">
                  <c:v>50% / 700</c:v>
                </c:pt>
                <c:pt idx="1">
                  <c:v>55% / 700</c:v>
                </c:pt>
                <c:pt idx="2">
                  <c:v>50% / 725</c:v>
                </c:pt>
                <c:pt idx="3">
                  <c:v>40% / 650</c:v>
                </c:pt>
              </c:strCache>
            </c:strRef>
          </c:cat>
          <c:val>
            <c:numRef>
              <c:f>Dashboard!$D$33:$D$36</c:f>
              <c:numCache>
                <c:formatCode>General</c:formatCode>
                <c:ptCount val="4"/>
                <c:pt idx="0">
                  <c:v>9</c:v>
                </c:pt>
                <c:pt idx="1">
                  <c:v>10</c:v>
                </c:pt>
                <c:pt idx="2">
                  <c:v>6</c:v>
                </c:pt>
                <c:pt idx="3">
                  <c:v>6</c:v>
                </c:pt>
              </c:numCache>
            </c:numRef>
          </c:val>
        </c:ser>
        <c:dLbls>
          <c:showLegendKey val="0"/>
          <c:showVal val="0"/>
          <c:showCatName val="0"/>
          <c:showSerName val="0"/>
          <c:showPercent val="0"/>
          <c:showBubbleSize val="1"/>
        </c:dLbls>
        <c:gapWidth val="150"/>
        <c:overlap val="0"/>
        <c:axId val="66863076"/>
        <c:axId val="56596109"/>
      </c:barChart>
      <c:catAx>
        <c:axId val="66863076"/>
        <c:scaling>
          <c:orientation val="minMax"/>
        </c:scaling>
        <c:delete val="0"/>
        <c:axPos val="b"/>
        <c:title>
          <c:tx>
            <c:rich>
              <a:bodyPr rot="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000" b="1" strike="noStrike">
                    <a:solidFill>
                      <a:srgbClr val="000000"/>
                    </a:solidFill>
                    <a:uFillTx/>
                    <a:latin typeface="Calibri" panose="020F0502020204030204"/>
                  </a:rPr>
                  <a:t>Rule</a:t>
                </a:r>
                <a:endParaRPr sz="1000" b="1" strike="noStrike">
                  <a:solidFill>
                    <a:srgbClr val="000000"/>
                  </a:solidFill>
                  <a:uFillTx/>
                  <a:latin typeface="Calibri" panose="020F0502020204030204"/>
                </a:endParaRPr>
              </a:p>
            </c:rich>
          </c:tx>
          <c:layout/>
          <c:overlay val="0"/>
          <c:spPr>
            <a:noFill/>
            <a:ln w="0">
              <a:noFill/>
              <a:prstDash val="solid"/>
            </a:ln>
          </c:spPr>
        </c:title>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crossAx val="56596109"/>
        <c:crosses val="autoZero"/>
        <c:auto val="1"/>
        <c:lblAlgn val="ctr"/>
        <c:lblOffset val="100"/>
        <c:noMultiLvlLbl val="0"/>
      </c:catAx>
      <c:valAx>
        <c:axId val="56596109"/>
        <c:scaling>
          <c:orientation val="minMax"/>
        </c:scaling>
        <c:delete val="0"/>
        <c:axPos val="l"/>
        <c:majorGridlines>
          <c:spPr>
            <a:ln w="0" cap="flat" cmpd="sng" algn="ctr">
              <a:solidFill>
                <a:srgbClr val="B3B3B3"/>
              </a:solidFill>
              <a:prstDash val="solid"/>
              <a:round/>
            </a:ln>
          </c:spPr>
        </c:majorGridlines>
        <c:title>
          <c:tx>
            <c:rich>
              <a:bodyPr rot="-5400000" spcFirstLastPara="0" vertOverflow="ellipsis" vert="horz" wrap="square" anchor="ctr" anchorCtr="1"/>
              <a:lstStyle/>
              <a:p>
                <a:pPr>
                  <a:defRPr lang="en-US" sz="1300" b="0" i="0" u="none" strike="noStrike" kern="1200" baseline="0">
                    <a:solidFill>
                      <a:schemeClr val="tx1"/>
                    </a:solidFill>
                    <a:uFillTx/>
                    <a:latin typeface="Arial" panose="020B0604020202020204"/>
                    <a:ea typeface="+mn-ea"/>
                    <a:cs typeface="+mn-cs"/>
                  </a:defRPr>
                </a:pPr>
                <a:r>
                  <a:rPr sz="1000" b="1" strike="noStrike">
                    <a:solidFill>
                      <a:srgbClr val="000000"/>
                    </a:solidFill>
                    <a:uFillTx/>
                    <a:latin typeface="Calibri" panose="020F0502020204030204"/>
                  </a:rPr>
                  <a:t>Applications</a:t>
                </a:r>
                <a:endParaRPr sz="1000" b="1" strike="noStrike">
                  <a:solidFill>
                    <a:srgbClr val="000000"/>
                  </a:solidFill>
                  <a:uFillTx/>
                  <a:latin typeface="Calibri" panose="020F0502020204030204"/>
                </a:endParaRPr>
              </a:p>
            </c:rich>
          </c:tx>
          <c:layout/>
          <c:overlay val="0"/>
          <c:spPr>
            <a:noFill/>
            <a:ln w="0">
              <a:noFill/>
              <a:prstDash val="solid"/>
            </a:ln>
          </c:spPr>
        </c:title>
        <c:numFmt formatCode="General" sourceLinked="0"/>
        <c:majorTickMark val="none"/>
        <c:minorTickMark val="none"/>
        <c:tickLblPos val="nextTo"/>
        <c:spPr>
          <a:ln w="0" cap="flat" cmpd="sng" algn="ctr">
            <a:solidFill>
              <a:srgbClr val="B3B3B3"/>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crossAx val="66863076"/>
        <c:crosses val="autoZero"/>
        <c:crossBetween val="between"/>
      </c:valAx>
    </c:plotArea>
    <c:legend>
      <c:legendPos val="r"/>
      <c:layout/>
      <c:overlay val="0"/>
      <c:spPr>
        <a:noFill/>
        <a:ln w="0">
          <a:noFill/>
          <a:prstDash val="solid"/>
        </a:ln>
      </c:spPr>
      <c:txPr>
        <a:bodyPr rot="0" spcFirstLastPara="0" vertOverflow="ellipsis" vert="horz" wrap="square" anchor="ctr" anchorCtr="1"/>
        <a:lstStyle/>
        <a:p>
          <a:pPr>
            <a:defRPr lang="en-US" sz="1000" b="0" i="0" u="none" strike="noStrike" kern="1200" baseline="0">
              <a:solidFill>
                <a:srgbClr val="000000"/>
              </a:solidFill>
              <a:uFillTx/>
              <a:latin typeface="Calibri" panose="020F0502020204030204"/>
              <a:ea typeface="+mn-ea"/>
              <a:cs typeface="+mn-cs"/>
            </a:defRPr>
          </a:pPr>
        </a:p>
      </c:txPr>
    </c:legend>
    <c:plotVisOnly val="1"/>
    <c:dispBlanksAs val="gap"/>
    <c:showDLblsOverMax val="0"/>
    <c:extLst>
      <c:ext uri="{0b15fc19-7d7d-44ad-8c2d-2c3a37ce22c3}">
        <chartProps xmlns="https://web.wps.cn/et/2018/main" chartId="{70613b64-7265-4e8c-a884-6c829d390f62}"/>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9</xdr:row>
      <xdr:rowOff>172080</xdr:rowOff>
    </xdr:from>
    <xdr:to>
      <xdr:col>5</xdr:col>
      <xdr:colOff>1140120</xdr:colOff>
      <xdr:row>22</xdr:row>
      <xdr:rowOff>185760</xdr:rowOff>
    </xdr:to>
    <xdr:graphicFrame>
      <xdr:nvGraphicFramePr>
        <xdr:cNvPr id="2" name="Chart 1"/>
        <xdr:cNvGraphicFramePr/>
      </xdr:nvGraphicFramePr>
      <xdr:xfrm>
        <a:off x="4114800" y="2085975"/>
        <a:ext cx="3883025" cy="2509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21</xdr:row>
      <xdr:rowOff>142920</xdr:rowOff>
    </xdr:from>
    <xdr:to>
      <xdr:col>5</xdr:col>
      <xdr:colOff>780120</xdr:colOff>
      <xdr:row>34</xdr:row>
      <xdr:rowOff>171000</xdr:rowOff>
    </xdr:to>
    <xdr:graphicFrame>
      <xdr:nvGraphicFramePr>
        <xdr:cNvPr id="3" name="Chart 2"/>
        <xdr:cNvGraphicFramePr/>
      </xdr:nvGraphicFramePr>
      <xdr:xfrm>
        <a:off x="4114800" y="4362450"/>
        <a:ext cx="3522980" cy="25139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32</xdr:row>
      <xdr:rowOff>128520</xdr:rowOff>
    </xdr:from>
    <xdr:to>
      <xdr:col>5</xdr:col>
      <xdr:colOff>1140120</xdr:colOff>
      <xdr:row>45</xdr:row>
      <xdr:rowOff>171000</xdr:rowOff>
    </xdr:to>
    <xdr:graphicFrame>
      <xdr:nvGraphicFramePr>
        <xdr:cNvPr id="4" name="Chart 3"/>
        <xdr:cNvGraphicFramePr/>
      </xdr:nvGraphicFramePr>
      <xdr:xfrm>
        <a:off x="4114800" y="6452870"/>
        <a:ext cx="3883025" cy="251904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47</xdr:row>
      <xdr:rowOff>128160</xdr:rowOff>
    </xdr:from>
    <xdr:to>
      <xdr:col>5</xdr:col>
      <xdr:colOff>1140120</xdr:colOff>
      <xdr:row>60</xdr:row>
      <xdr:rowOff>171000</xdr:rowOff>
    </xdr:to>
    <xdr:graphicFrame>
      <xdr:nvGraphicFramePr>
        <xdr:cNvPr id="5" name="Chart 4"/>
        <xdr:cNvGraphicFramePr/>
      </xdr:nvGraphicFramePr>
      <xdr:xfrm>
        <a:off x="4114800" y="9309735"/>
        <a:ext cx="3883025" cy="25196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36</xdr:row>
      <xdr:rowOff>128160</xdr:rowOff>
    </xdr:from>
    <xdr:to>
      <xdr:col>3</xdr:col>
      <xdr:colOff>810000</xdr:colOff>
      <xdr:row>51</xdr:row>
      <xdr:rowOff>149760</xdr:rowOff>
    </xdr:to>
    <xdr:graphicFrame>
      <xdr:nvGraphicFramePr>
        <xdr:cNvPr id="6" name="Chart 5"/>
        <xdr:cNvGraphicFramePr/>
      </xdr:nvGraphicFramePr>
      <xdr:xfrm>
        <a:off x="0" y="7214235"/>
        <a:ext cx="4924425" cy="287909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workbookViewId="0">
      <pane ySplit="1" topLeftCell="A2" activePane="bottomLeft" state="frozen"/>
      <selection/>
      <selection pane="bottomLeft" activeCell="A1" sqref="A1"/>
    </sheetView>
  </sheetViews>
  <sheetFormatPr defaultColWidth="8.67592592592593" defaultRowHeight="15" customHeight="1" outlineLevelCol="6"/>
  <cols>
    <col min="1" max="2" width="40" customWidth="1"/>
    <col min="3" max="3" width="15" customWidth="1"/>
    <col min="4" max="4" width="38" customWidth="1"/>
    <col min="5" max="6" width="25" customWidth="1"/>
    <col min="7" max="7" width="19" customWidth="1"/>
  </cols>
  <sheetData>
    <row r="1" ht="17.25" customHeight="1" spans="1:2">
      <c r="A1" s="24" t="s">
        <v>0</v>
      </c>
    </row>
    <row r="2" customHeight="1" spans="1:2">
      <c r="A2" s="25" t="s">
        <v>1</v>
      </c>
    </row>
    <row r="4" ht="18" customHeight="1" spans="1:2">
      <c r="A4" s="26" t="s">
        <v>2</v>
      </c>
      <c r="B4" s="27" t="s">
        <v>3</v>
      </c>
    </row>
    <row r="5" ht="18" customHeight="1" spans="1:2">
      <c r="A5" s="26" t="s">
        <v>4</v>
      </c>
      <c r="B5" s="27" t="s">
        <v>5</v>
      </c>
    </row>
    <row r="6" ht="18" customHeight="1" spans="1:2">
      <c r="A6" s="26" t="s">
        <v>6</v>
      </c>
      <c r="B6" s="27" t="s">
        <v>7</v>
      </c>
    </row>
    <row r="7" ht="27.75" customHeight="1" spans="1:2">
      <c r="A7" s="26" t="s">
        <v>8</v>
      </c>
      <c r="B7" s="27" t="s">
        <v>9</v>
      </c>
    </row>
    <row r="8" ht="69.75" customHeight="1" spans="1:2">
      <c r="A8" s="26" t="s">
        <v>10</v>
      </c>
      <c r="B8" s="27" t="s">
        <v>11</v>
      </c>
    </row>
    <row r="9" ht="18" customHeight="1" spans="1:2">
      <c r="A9" s="26" t="s">
        <v>12</v>
      </c>
      <c r="B9" s="27" t="s">
        <v>13</v>
      </c>
    </row>
    <row r="10" ht="27.75" customHeight="1" spans="1:2">
      <c r="A10" s="26" t="s">
        <v>14</v>
      </c>
      <c r="B10" s="27" t="s">
        <v>15</v>
      </c>
    </row>
    <row r="11" ht="42" customHeight="1" spans="1:2">
      <c r="A11" s="26" t="s">
        <v>16</v>
      </c>
      <c r="B11" s="27" t="s">
        <v>17</v>
      </c>
    </row>
    <row r="12" ht="18" customHeight="1" spans="1:2">
      <c r="A12" s="26" t="s">
        <v>18</v>
      </c>
      <c r="B12" s="27" t="s">
        <v>19</v>
      </c>
    </row>
    <row r="13" ht="27.75" customHeight="1" spans="1:2">
      <c r="A13" s="26" t="s">
        <v>20</v>
      </c>
      <c r="B13" s="27" t="s">
        <v>21</v>
      </c>
    </row>
    <row r="14" ht="42" customHeight="1" spans="1:2">
      <c r="A14" s="26" t="s">
        <v>22</v>
      </c>
      <c r="B14" s="27" t="s">
        <v>23</v>
      </c>
    </row>
    <row r="16" customHeight="1" spans="1:2">
      <c r="A16" s="28" t="s">
        <v>24</v>
      </c>
    </row>
    <row r="17" customHeight="1" spans="1:7">
      <c r="A17" s="18" t="s">
        <v>25</v>
      </c>
      <c r="B17" s="18" t="s">
        <v>26</v>
      </c>
      <c r="C17" s="18" t="s">
        <v>27</v>
      </c>
      <c r="D17" s="18" t="s">
        <v>28</v>
      </c>
      <c r="E17" s="18" t="s">
        <v>29</v>
      </c>
      <c r="F17" s="18" t="s">
        <v>30</v>
      </c>
      <c r="G17" s="18" t="s">
        <v>31</v>
      </c>
    </row>
    <row r="18" ht="42" customHeight="1" spans="1:7">
      <c r="A18" s="19" t="s">
        <v>32</v>
      </c>
      <c r="B18" s="19" t="s">
        <v>33</v>
      </c>
      <c r="C18" s="19">
        <v>8</v>
      </c>
      <c r="D18" s="19" t="s">
        <v>34</v>
      </c>
      <c r="E18" s="19" t="s">
        <v>35</v>
      </c>
      <c r="F18" s="19" t="s">
        <v>36</v>
      </c>
      <c r="G18" s="19" t="s">
        <v>37</v>
      </c>
    </row>
    <row r="19" ht="42" customHeight="1" spans="1:7">
      <c r="A19" s="19" t="s">
        <v>38</v>
      </c>
      <c r="B19" s="19" t="s">
        <v>39</v>
      </c>
      <c r="C19" s="19">
        <v>7</v>
      </c>
      <c r="D19" s="19" t="s">
        <v>40</v>
      </c>
      <c r="E19" s="19" t="s">
        <v>41</v>
      </c>
      <c r="F19" s="19" t="s">
        <v>42</v>
      </c>
      <c r="G19" s="19" t="s">
        <v>43</v>
      </c>
    </row>
    <row r="20" ht="42" customHeight="1" spans="1:7">
      <c r="A20" s="19" t="s">
        <v>44</v>
      </c>
      <c r="B20" s="19" t="s">
        <v>45</v>
      </c>
      <c r="C20" s="19">
        <v>5</v>
      </c>
      <c r="D20" s="19" t="s">
        <v>46</v>
      </c>
      <c r="E20" s="19" t="s">
        <v>47</v>
      </c>
      <c r="F20" s="19" t="s">
        <v>48</v>
      </c>
      <c r="G20" s="19" t="s">
        <v>49</v>
      </c>
    </row>
    <row r="21" ht="42" customHeight="1" spans="1:7">
      <c r="A21" s="19" t="s">
        <v>50</v>
      </c>
      <c r="B21" s="19" t="s">
        <v>51</v>
      </c>
      <c r="C21" s="19">
        <v>6</v>
      </c>
      <c r="D21" s="19" t="s">
        <v>52</v>
      </c>
      <c r="E21" s="19" t="s">
        <v>53</v>
      </c>
      <c r="F21" s="19" t="s">
        <v>54</v>
      </c>
      <c r="G21" s="19" t="s">
        <v>55</v>
      </c>
    </row>
    <row r="22" ht="42" customHeight="1" spans="1:7">
      <c r="A22" s="19" t="s">
        <v>56</v>
      </c>
      <c r="B22" s="19" t="s">
        <v>57</v>
      </c>
      <c r="C22" s="19">
        <v>4</v>
      </c>
      <c r="D22" s="19" t="s">
        <v>58</v>
      </c>
      <c r="E22" s="19" t="s">
        <v>59</v>
      </c>
      <c r="F22" s="19" t="s">
        <v>60</v>
      </c>
      <c r="G22" s="19" t="s">
        <v>55</v>
      </c>
    </row>
    <row r="23" customHeight="1" spans="1:7">
      <c r="A23" s="29" t="s">
        <v>61</v>
      </c>
      <c r="C23" s="29">
        <f>SUM(C18:C22)</f>
        <v>30</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01"/>
  <sheetViews>
    <sheetView workbookViewId="0">
      <pane ySplit="1" topLeftCell="A2" activePane="bottomLeft" state="frozen"/>
      <selection/>
      <selection pane="bottomLeft" activeCell="A1" sqref="A1"/>
    </sheetView>
  </sheetViews>
  <sheetFormatPr defaultColWidth="8.67592592592593" defaultRowHeight="15" customHeight="1"/>
  <cols>
    <col min="1" max="2" width="16" customWidth="1"/>
    <col min="3" max="6" width="12" customWidth="1"/>
    <col min="7" max="7" width="28" customWidth="1"/>
    <col min="8" max="8" width="20" customWidth="1"/>
    <col min="9" max="9" width="18" customWidth="1"/>
    <col min="10" max="11" width="14" customWidth="1"/>
    <col min="12" max="12" width="17" customWidth="1"/>
    <col min="13" max="13" width="15" customWidth="1"/>
    <col min="14" max="14" width="19" customWidth="1"/>
    <col min="15" max="15" width="22" customWidth="1"/>
    <col min="16" max="16" width="12" customWidth="1"/>
    <col min="17" max="17" width="22" customWidth="1"/>
  </cols>
  <sheetData>
    <row r="1" ht="23.25" customHeight="1" spans="1:17">
      <c r="A1" s="22" t="s">
        <v>62</v>
      </c>
      <c r="B1" s="22" t="s">
        <v>63</v>
      </c>
      <c r="C1" s="22" t="s">
        <v>64</v>
      </c>
      <c r="D1" s="22" t="s">
        <v>65</v>
      </c>
      <c r="E1" s="22" t="s">
        <v>66</v>
      </c>
      <c r="F1" s="22" t="s">
        <v>67</v>
      </c>
      <c r="G1" s="22" t="s">
        <v>68</v>
      </c>
      <c r="H1" s="22" t="s">
        <v>69</v>
      </c>
      <c r="I1" s="22" t="s">
        <v>70</v>
      </c>
      <c r="J1" s="22" t="s">
        <v>71</v>
      </c>
      <c r="K1" s="22" t="s">
        <v>72</v>
      </c>
      <c r="L1" s="22" t="s">
        <v>73</v>
      </c>
      <c r="M1" s="22" t="s">
        <v>74</v>
      </c>
      <c r="N1" s="22" t="s">
        <v>75</v>
      </c>
      <c r="O1" s="22" t="s">
        <v>76</v>
      </c>
      <c r="P1" s="22" t="s">
        <v>77</v>
      </c>
      <c r="Q1" s="22" t="s">
        <v>78</v>
      </c>
    </row>
    <row r="2" customHeight="1" spans="1:17">
      <c r="A2" t="s">
        <v>79</v>
      </c>
      <c r="B2" t="s">
        <v>80</v>
      </c>
      <c r="C2" t="s">
        <v>81</v>
      </c>
      <c r="D2">
        <v>36</v>
      </c>
      <c r="E2" t="s">
        <v>82</v>
      </c>
      <c r="F2">
        <v>2</v>
      </c>
      <c r="G2" t="s">
        <v>83</v>
      </c>
      <c r="H2" s="23">
        <v>65492</v>
      </c>
      <c r="I2" s="23">
        <v>26672</v>
      </c>
      <c r="J2">
        <v>668</v>
      </c>
      <c r="K2" t="s">
        <v>84</v>
      </c>
      <c r="L2" s="23">
        <v>1250000</v>
      </c>
      <c r="M2">
        <v>84</v>
      </c>
      <c r="N2">
        <v>11.06</v>
      </c>
      <c r="O2">
        <v>2</v>
      </c>
      <c r="P2">
        <v>1</v>
      </c>
      <c r="Q2" t="s">
        <v>85</v>
      </c>
    </row>
    <row r="3" customHeight="1" spans="1:17">
      <c r="A3" t="s">
        <v>86</v>
      </c>
      <c r="B3" t="s">
        <v>87</v>
      </c>
      <c r="C3" t="s">
        <v>81</v>
      </c>
      <c r="D3">
        <v>35</v>
      </c>
      <c r="E3" t="s">
        <v>88</v>
      </c>
      <c r="F3">
        <v>3</v>
      </c>
      <c r="G3" t="s">
        <v>89</v>
      </c>
      <c r="H3" s="23">
        <v>28588</v>
      </c>
      <c r="I3" s="23">
        <v>0</v>
      </c>
      <c r="J3">
        <v>624</v>
      </c>
      <c r="K3" t="s">
        <v>90</v>
      </c>
      <c r="L3" s="23">
        <v>610000</v>
      </c>
      <c r="M3">
        <v>60</v>
      </c>
      <c r="N3">
        <v>9.8</v>
      </c>
      <c r="O3">
        <v>8</v>
      </c>
      <c r="P3">
        <v>4</v>
      </c>
      <c r="Q3" t="s">
        <v>91</v>
      </c>
    </row>
    <row r="4" customHeight="1" spans="1:17">
      <c r="A4" t="s">
        <v>92</v>
      </c>
      <c r="B4" t="s">
        <v>93</v>
      </c>
      <c r="C4" t="s">
        <v>81</v>
      </c>
      <c r="D4">
        <v>38</v>
      </c>
      <c r="E4" t="s">
        <v>94</v>
      </c>
      <c r="F4">
        <v>1</v>
      </c>
      <c r="G4" t="s">
        <v>89</v>
      </c>
      <c r="H4" s="23">
        <v>39282</v>
      </c>
      <c r="I4" s="23">
        <v>0</v>
      </c>
      <c r="J4">
        <v>880</v>
      </c>
      <c r="K4" t="s">
        <v>95</v>
      </c>
      <c r="L4" s="23">
        <v>640000</v>
      </c>
      <c r="M4">
        <v>60</v>
      </c>
      <c r="N4">
        <v>13.83</v>
      </c>
      <c r="O4">
        <v>0</v>
      </c>
      <c r="P4">
        <v>0</v>
      </c>
      <c r="Q4" t="s">
        <v>85</v>
      </c>
    </row>
    <row r="5" customHeight="1" spans="1:17">
      <c r="A5" t="s">
        <v>96</v>
      </c>
      <c r="B5" t="s">
        <v>97</v>
      </c>
      <c r="C5" t="s">
        <v>81</v>
      </c>
      <c r="D5">
        <v>36</v>
      </c>
      <c r="E5" t="s">
        <v>98</v>
      </c>
      <c r="F5">
        <v>2</v>
      </c>
      <c r="G5" t="s">
        <v>83</v>
      </c>
      <c r="H5" s="23">
        <v>72926</v>
      </c>
      <c r="I5" s="23">
        <v>24175</v>
      </c>
      <c r="J5">
        <v>657</v>
      </c>
      <c r="K5" t="s">
        <v>95</v>
      </c>
      <c r="L5" s="23">
        <v>1230000</v>
      </c>
      <c r="M5">
        <v>60</v>
      </c>
      <c r="N5">
        <v>14.27</v>
      </c>
      <c r="O5">
        <v>0</v>
      </c>
      <c r="P5">
        <v>3</v>
      </c>
      <c r="Q5" t="s">
        <v>91</v>
      </c>
    </row>
    <row r="6" customHeight="1" spans="1:17">
      <c r="A6" t="s">
        <v>99</v>
      </c>
      <c r="B6" t="s">
        <v>100</v>
      </c>
      <c r="C6" t="s">
        <v>81</v>
      </c>
      <c r="D6">
        <v>47</v>
      </c>
      <c r="E6" t="s">
        <v>82</v>
      </c>
      <c r="F6">
        <v>2</v>
      </c>
      <c r="G6" t="s">
        <v>83</v>
      </c>
      <c r="H6" s="23">
        <v>41783</v>
      </c>
      <c r="I6" s="23">
        <v>0</v>
      </c>
      <c r="J6">
        <v>751</v>
      </c>
      <c r="K6" t="s">
        <v>90</v>
      </c>
      <c r="L6" s="23">
        <v>460000</v>
      </c>
      <c r="M6">
        <v>60</v>
      </c>
      <c r="N6">
        <v>9.69</v>
      </c>
      <c r="O6">
        <v>2</v>
      </c>
      <c r="P6">
        <v>4</v>
      </c>
      <c r="Q6" t="s">
        <v>91</v>
      </c>
    </row>
    <row r="7" customHeight="1" spans="1:17">
      <c r="A7" t="s">
        <v>101</v>
      </c>
      <c r="B7" t="s">
        <v>102</v>
      </c>
      <c r="C7" t="s">
        <v>81</v>
      </c>
      <c r="D7">
        <v>49</v>
      </c>
      <c r="E7" t="s">
        <v>88</v>
      </c>
      <c r="F7">
        <v>3</v>
      </c>
      <c r="G7" t="s">
        <v>103</v>
      </c>
      <c r="H7" s="23">
        <v>105880</v>
      </c>
      <c r="I7" s="23">
        <v>37735</v>
      </c>
      <c r="J7">
        <v>691</v>
      </c>
      <c r="K7" t="s">
        <v>90</v>
      </c>
      <c r="L7" s="23">
        <v>360000</v>
      </c>
      <c r="M7">
        <v>60</v>
      </c>
      <c r="N7">
        <v>9.6</v>
      </c>
      <c r="O7">
        <v>6</v>
      </c>
      <c r="P7">
        <v>0</v>
      </c>
      <c r="Q7" t="s">
        <v>85</v>
      </c>
    </row>
    <row r="8" customHeight="1" spans="1:17">
      <c r="A8" t="s">
        <v>104</v>
      </c>
      <c r="B8" t="s">
        <v>105</v>
      </c>
      <c r="C8" t="s">
        <v>81</v>
      </c>
      <c r="D8">
        <v>36</v>
      </c>
      <c r="E8" t="s">
        <v>106</v>
      </c>
      <c r="F8">
        <v>2</v>
      </c>
      <c r="G8" t="s">
        <v>83</v>
      </c>
      <c r="H8" s="23">
        <v>34761</v>
      </c>
      <c r="I8" s="23">
        <v>7726</v>
      </c>
      <c r="J8">
        <v>799</v>
      </c>
      <c r="K8" t="s">
        <v>90</v>
      </c>
      <c r="L8" s="23">
        <v>1030000</v>
      </c>
      <c r="M8">
        <v>60</v>
      </c>
      <c r="N8">
        <v>10.57</v>
      </c>
      <c r="O8">
        <v>3</v>
      </c>
      <c r="P8">
        <v>2</v>
      </c>
      <c r="Q8" t="s">
        <v>85</v>
      </c>
    </row>
    <row r="9" customHeight="1" spans="1:17">
      <c r="A9" t="s">
        <v>107</v>
      </c>
      <c r="B9" t="s">
        <v>108</v>
      </c>
      <c r="C9" t="s">
        <v>109</v>
      </c>
      <c r="D9">
        <v>34</v>
      </c>
      <c r="E9" t="s">
        <v>110</v>
      </c>
      <c r="F9">
        <v>1</v>
      </c>
      <c r="G9" t="s">
        <v>89</v>
      </c>
      <c r="H9" s="23">
        <v>57306</v>
      </c>
      <c r="I9" s="23">
        <v>0</v>
      </c>
      <c r="J9">
        <v>767</v>
      </c>
      <c r="K9" t="s">
        <v>95</v>
      </c>
      <c r="L9" s="23">
        <v>1370000</v>
      </c>
      <c r="M9">
        <v>60</v>
      </c>
      <c r="N9">
        <v>14.76</v>
      </c>
      <c r="O9">
        <v>5</v>
      </c>
      <c r="P9">
        <v>3</v>
      </c>
      <c r="Q9" t="s">
        <v>85</v>
      </c>
    </row>
    <row r="10" customHeight="1" spans="1:17">
      <c r="A10" t="s">
        <v>111</v>
      </c>
      <c r="B10" t="s">
        <v>112</v>
      </c>
      <c r="C10" t="s">
        <v>81</v>
      </c>
      <c r="D10">
        <v>40</v>
      </c>
      <c r="E10" t="s">
        <v>98</v>
      </c>
      <c r="F10">
        <v>2</v>
      </c>
      <c r="G10" t="s">
        <v>89</v>
      </c>
      <c r="H10" s="23">
        <v>88230</v>
      </c>
      <c r="I10" s="23">
        <v>13143</v>
      </c>
      <c r="J10">
        <v>714</v>
      </c>
      <c r="K10" t="s">
        <v>84</v>
      </c>
      <c r="L10" s="23">
        <v>1120000</v>
      </c>
      <c r="M10">
        <v>84</v>
      </c>
      <c r="N10">
        <v>10.45</v>
      </c>
      <c r="O10">
        <v>1</v>
      </c>
      <c r="P10">
        <v>0</v>
      </c>
      <c r="Q10" t="s">
        <v>85</v>
      </c>
    </row>
    <row r="11" customHeight="1" spans="1:17">
      <c r="A11" t="s">
        <v>113</v>
      </c>
      <c r="B11" t="s">
        <v>114</v>
      </c>
      <c r="C11" t="s">
        <v>109</v>
      </c>
      <c r="D11">
        <v>26</v>
      </c>
      <c r="E11" t="s">
        <v>115</v>
      </c>
      <c r="F11">
        <v>2</v>
      </c>
      <c r="G11" t="s">
        <v>116</v>
      </c>
      <c r="H11" s="23">
        <v>75780</v>
      </c>
      <c r="I11" s="23">
        <v>6290</v>
      </c>
      <c r="J11">
        <v>824</v>
      </c>
      <c r="K11" t="s">
        <v>95</v>
      </c>
      <c r="L11" s="23">
        <v>1800000</v>
      </c>
      <c r="M11">
        <v>60</v>
      </c>
      <c r="N11">
        <v>14.52</v>
      </c>
      <c r="O11">
        <v>0</v>
      </c>
      <c r="P11">
        <v>3</v>
      </c>
      <c r="Q11" t="s">
        <v>85</v>
      </c>
    </row>
    <row r="12" customHeight="1" spans="1:17">
      <c r="A12" t="s">
        <v>117</v>
      </c>
      <c r="B12" t="s">
        <v>118</v>
      </c>
      <c r="C12" t="s">
        <v>109</v>
      </c>
      <c r="D12">
        <v>38</v>
      </c>
      <c r="E12" t="s">
        <v>94</v>
      </c>
      <c r="F12">
        <v>1</v>
      </c>
      <c r="G12" t="s">
        <v>83</v>
      </c>
      <c r="H12" s="23">
        <v>48021</v>
      </c>
      <c r="I12" s="23">
        <v>0</v>
      </c>
      <c r="J12">
        <v>752</v>
      </c>
      <c r="K12" t="s">
        <v>119</v>
      </c>
      <c r="L12" s="23">
        <v>380000</v>
      </c>
      <c r="M12">
        <v>48</v>
      </c>
      <c r="N12">
        <v>10.75</v>
      </c>
      <c r="O12">
        <v>0</v>
      </c>
      <c r="P12">
        <v>0</v>
      </c>
      <c r="Q12" t="s">
        <v>85</v>
      </c>
    </row>
    <row r="13" customHeight="1" spans="1:17">
      <c r="A13" t="s">
        <v>120</v>
      </c>
      <c r="B13" t="s">
        <v>121</v>
      </c>
      <c r="C13" t="s">
        <v>81</v>
      </c>
      <c r="D13">
        <v>27</v>
      </c>
      <c r="E13" t="s">
        <v>122</v>
      </c>
      <c r="F13">
        <v>2</v>
      </c>
      <c r="G13" t="s">
        <v>83</v>
      </c>
      <c r="H13" s="23">
        <v>90536</v>
      </c>
      <c r="I13" s="23">
        <v>0</v>
      </c>
      <c r="J13">
        <v>629</v>
      </c>
      <c r="K13" t="s">
        <v>95</v>
      </c>
      <c r="L13" s="23">
        <v>1230000</v>
      </c>
      <c r="M13">
        <v>60</v>
      </c>
      <c r="N13">
        <v>14.98</v>
      </c>
      <c r="O13">
        <v>8</v>
      </c>
      <c r="P13">
        <v>1</v>
      </c>
      <c r="Q13" t="s">
        <v>85</v>
      </c>
    </row>
    <row r="14" customHeight="1" spans="1:17">
      <c r="A14" t="s">
        <v>123</v>
      </c>
      <c r="B14" t="s">
        <v>124</v>
      </c>
      <c r="C14" t="s">
        <v>109</v>
      </c>
      <c r="D14">
        <v>41</v>
      </c>
      <c r="E14" t="s">
        <v>94</v>
      </c>
      <c r="F14">
        <v>1</v>
      </c>
      <c r="G14" t="s">
        <v>116</v>
      </c>
      <c r="H14" s="23">
        <v>51589</v>
      </c>
      <c r="I14" s="23">
        <v>0</v>
      </c>
      <c r="J14">
        <v>751</v>
      </c>
      <c r="K14" t="s">
        <v>125</v>
      </c>
      <c r="L14" s="23">
        <v>1960000</v>
      </c>
      <c r="M14">
        <v>240</v>
      </c>
      <c r="N14">
        <v>9.7</v>
      </c>
      <c r="O14">
        <v>1</v>
      </c>
      <c r="P14">
        <v>3</v>
      </c>
      <c r="Q14" t="s">
        <v>85</v>
      </c>
    </row>
    <row r="15" customHeight="1" spans="1:17">
      <c r="A15" t="s">
        <v>126</v>
      </c>
      <c r="B15" t="s">
        <v>127</v>
      </c>
      <c r="C15" t="s">
        <v>109</v>
      </c>
      <c r="D15">
        <v>33</v>
      </c>
      <c r="E15" t="s">
        <v>128</v>
      </c>
      <c r="F15">
        <v>2</v>
      </c>
      <c r="G15" t="s">
        <v>83</v>
      </c>
      <c r="H15" s="23">
        <v>155225</v>
      </c>
      <c r="I15" s="23">
        <v>63923</v>
      </c>
      <c r="J15">
        <v>690</v>
      </c>
      <c r="K15" t="s">
        <v>119</v>
      </c>
      <c r="L15" s="23">
        <v>800000</v>
      </c>
      <c r="M15">
        <v>48</v>
      </c>
      <c r="N15">
        <v>11.59</v>
      </c>
      <c r="O15">
        <v>1</v>
      </c>
      <c r="P15">
        <v>0</v>
      </c>
      <c r="Q15" t="s">
        <v>91</v>
      </c>
    </row>
    <row r="16" customHeight="1" spans="1:17">
      <c r="A16" t="s">
        <v>129</v>
      </c>
      <c r="B16" t="s">
        <v>130</v>
      </c>
      <c r="C16" t="s">
        <v>109</v>
      </c>
      <c r="D16">
        <v>40</v>
      </c>
      <c r="E16" t="s">
        <v>106</v>
      </c>
      <c r="F16">
        <v>2</v>
      </c>
      <c r="G16" t="s">
        <v>83</v>
      </c>
      <c r="H16" s="23">
        <v>18000</v>
      </c>
      <c r="I16" s="23">
        <v>3688</v>
      </c>
      <c r="J16">
        <v>679</v>
      </c>
      <c r="K16" t="s">
        <v>131</v>
      </c>
      <c r="L16" s="23">
        <v>240000</v>
      </c>
      <c r="M16">
        <v>36</v>
      </c>
      <c r="N16">
        <v>14.12</v>
      </c>
      <c r="O16">
        <v>2</v>
      </c>
      <c r="P16">
        <v>2</v>
      </c>
      <c r="Q16" t="s">
        <v>85</v>
      </c>
    </row>
    <row r="17" customHeight="1" spans="1:17">
      <c r="A17" t="s">
        <v>132</v>
      </c>
      <c r="B17" t="s">
        <v>133</v>
      </c>
      <c r="C17" t="s">
        <v>81</v>
      </c>
      <c r="D17">
        <v>32</v>
      </c>
      <c r="E17" t="s">
        <v>98</v>
      </c>
      <c r="F17">
        <v>2</v>
      </c>
      <c r="G17" t="s">
        <v>83</v>
      </c>
      <c r="H17" s="23">
        <v>92556</v>
      </c>
      <c r="I17" s="23">
        <v>34450</v>
      </c>
      <c r="J17">
        <v>845</v>
      </c>
      <c r="K17" t="s">
        <v>84</v>
      </c>
      <c r="L17" s="23">
        <v>770000</v>
      </c>
      <c r="M17">
        <v>84</v>
      </c>
      <c r="N17">
        <v>11.13</v>
      </c>
      <c r="O17">
        <v>6</v>
      </c>
      <c r="P17">
        <v>4</v>
      </c>
      <c r="Q17" t="s">
        <v>85</v>
      </c>
    </row>
    <row r="18" customHeight="1" spans="1:17">
      <c r="A18" t="s">
        <v>134</v>
      </c>
      <c r="B18" t="s">
        <v>135</v>
      </c>
      <c r="C18" t="s">
        <v>81</v>
      </c>
      <c r="D18">
        <v>35</v>
      </c>
      <c r="E18" t="s">
        <v>82</v>
      </c>
      <c r="F18">
        <v>2</v>
      </c>
      <c r="G18" t="s">
        <v>103</v>
      </c>
      <c r="H18" s="23">
        <v>54869</v>
      </c>
      <c r="I18" s="23">
        <v>13436</v>
      </c>
      <c r="J18">
        <v>756</v>
      </c>
      <c r="K18" t="s">
        <v>119</v>
      </c>
      <c r="L18" s="23">
        <v>670000</v>
      </c>
      <c r="M18">
        <v>48</v>
      </c>
      <c r="N18">
        <v>10.81</v>
      </c>
      <c r="O18">
        <v>0</v>
      </c>
      <c r="P18">
        <v>4</v>
      </c>
      <c r="Q18" t="s">
        <v>85</v>
      </c>
    </row>
    <row r="19" customHeight="1" spans="1:17">
      <c r="A19" t="s">
        <v>136</v>
      </c>
      <c r="B19" t="s">
        <v>137</v>
      </c>
      <c r="C19" t="s">
        <v>81</v>
      </c>
      <c r="D19">
        <v>48</v>
      </c>
      <c r="E19" t="s">
        <v>138</v>
      </c>
      <c r="F19">
        <v>1</v>
      </c>
      <c r="G19" t="s">
        <v>83</v>
      </c>
      <c r="H19" s="23">
        <v>66481</v>
      </c>
      <c r="I19" s="23">
        <v>29342</v>
      </c>
      <c r="J19">
        <v>643</v>
      </c>
      <c r="K19" t="s">
        <v>131</v>
      </c>
      <c r="L19" s="23">
        <v>400000</v>
      </c>
      <c r="M19">
        <v>36</v>
      </c>
      <c r="N19">
        <v>13.22</v>
      </c>
      <c r="O19">
        <v>1</v>
      </c>
      <c r="P19">
        <v>4</v>
      </c>
      <c r="Q19" t="s">
        <v>85</v>
      </c>
    </row>
    <row r="20" customHeight="1" spans="1:17">
      <c r="A20" t="s">
        <v>139</v>
      </c>
      <c r="B20" t="s">
        <v>140</v>
      </c>
      <c r="C20" t="s">
        <v>109</v>
      </c>
      <c r="D20">
        <v>39</v>
      </c>
      <c r="E20" t="s">
        <v>98</v>
      </c>
      <c r="F20">
        <v>2</v>
      </c>
      <c r="G20" t="s">
        <v>83</v>
      </c>
      <c r="H20" s="23">
        <v>55142</v>
      </c>
      <c r="I20" s="23">
        <v>0</v>
      </c>
      <c r="J20">
        <v>772</v>
      </c>
      <c r="K20" t="s">
        <v>125</v>
      </c>
      <c r="L20" s="23">
        <v>3690000</v>
      </c>
      <c r="M20">
        <v>240</v>
      </c>
      <c r="N20">
        <v>9.45</v>
      </c>
      <c r="O20">
        <v>0</v>
      </c>
      <c r="P20">
        <v>3</v>
      </c>
      <c r="Q20" t="s">
        <v>85</v>
      </c>
    </row>
    <row r="21" customHeight="1" spans="1:17">
      <c r="A21" t="s">
        <v>141</v>
      </c>
      <c r="B21" t="s">
        <v>142</v>
      </c>
      <c r="C21" t="s">
        <v>109</v>
      </c>
      <c r="D21">
        <v>35</v>
      </c>
      <c r="E21" t="s">
        <v>115</v>
      </c>
      <c r="F21">
        <v>2</v>
      </c>
      <c r="G21" t="s">
        <v>83</v>
      </c>
      <c r="H21" s="23">
        <v>79689</v>
      </c>
      <c r="I21" s="23">
        <v>0</v>
      </c>
      <c r="J21">
        <v>777</v>
      </c>
      <c r="K21" t="s">
        <v>95</v>
      </c>
      <c r="L21" s="23">
        <v>1850000</v>
      </c>
      <c r="M21">
        <v>60</v>
      </c>
      <c r="N21">
        <v>13.95</v>
      </c>
      <c r="O21">
        <v>0</v>
      </c>
      <c r="P21">
        <v>0</v>
      </c>
      <c r="Q21" t="s">
        <v>85</v>
      </c>
    </row>
    <row r="22" customHeight="1" spans="1:17">
      <c r="A22" t="s">
        <v>143</v>
      </c>
      <c r="B22" t="s">
        <v>144</v>
      </c>
      <c r="C22" t="s">
        <v>81</v>
      </c>
      <c r="D22">
        <v>36</v>
      </c>
      <c r="E22" t="s">
        <v>138</v>
      </c>
      <c r="F22">
        <v>1</v>
      </c>
      <c r="G22" t="s">
        <v>83</v>
      </c>
      <c r="H22" s="23">
        <v>47797</v>
      </c>
      <c r="I22" s="23">
        <v>814</v>
      </c>
      <c r="J22">
        <v>747</v>
      </c>
      <c r="K22" t="s">
        <v>84</v>
      </c>
      <c r="L22" s="23">
        <v>1010000</v>
      </c>
      <c r="M22">
        <v>84</v>
      </c>
      <c r="N22">
        <v>10.27</v>
      </c>
      <c r="O22">
        <v>9</v>
      </c>
      <c r="P22">
        <v>1</v>
      </c>
      <c r="Q22" t="s">
        <v>85</v>
      </c>
    </row>
    <row r="23" customHeight="1" spans="1:17">
      <c r="A23" t="s">
        <v>145</v>
      </c>
      <c r="B23" t="s">
        <v>146</v>
      </c>
      <c r="C23" t="s">
        <v>81</v>
      </c>
      <c r="D23">
        <v>37</v>
      </c>
      <c r="E23" t="s">
        <v>128</v>
      </c>
      <c r="F23">
        <v>2</v>
      </c>
      <c r="G23" t="s">
        <v>83</v>
      </c>
      <c r="H23" s="23">
        <v>67204</v>
      </c>
      <c r="I23" s="23">
        <v>26322</v>
      </c>
      <c r="J23">
        <v>692</v>
      </c>
      <c r="K23" t="s">
        <v>119</v>
      </c>
      <c r="L23" s="23">
        <v>340000</v>
      </c>
      <c r="M23">
        <v>48</v>
      </c>
      <c r="N23">
        <v>11.5</v>
      </c>
      <c r="O23">
        <v>1</v>
      </c>
      <c r="P23">
        <v>1</v>
      </c>
      <c r="Q23" t="s">
        <v>85</v>
      </c>
    </row>
    <row r="24" customHeight="1" spans="1:17">
      <c r="A24" t="s">
        <v>147</v>
      </c>
      <c r="B24" t="s">
        <v>148</v>
      </c>
      <c r="C24" t="s">
        <v>81</v>
      </c>
      <c r="D24">
        <v>21</v>
      </c>
      <c r="E24" t="s">
        <v>149</v>
      </c>
      <c r="F24">
        <v>1</v>
      </c>
      <c r="G24" t="s">
        <v>83</v>
      </c>
      <c r="H24" s="23">
        <v>97649</v>
      </c>
      <c r="I24" s="23">
        <v>0</v>
      </c>
      <c r="J24">
        <v>782</v>
      </c>
      <c r="K24" t="s">
        <v>84</v>
      </c>
      <c r="L24" s="23">
        <v>1010000</v>
      </c>
      <c r="M24">
        <v>84</v>
      </c>
      <c r="N24">
        <v>11.07</v>
      </c>
      <c r="O24">
        <v>0</v>
      </c>
      <c r="P24">
        <v>0</v>
      </c>
      <c r="Q24" t="s">
        <v>85</v>
      </c>
    </row>
    <row r="25" customHeight="1" spans="1:17">
      <c r="A25" t="s">
        <v>150</v>
      </c>
      <c r="B25" t="s">
        <v>151</v>
      </c>
      <c r="C25" t="s">
        <v>81</v>
      </c>
      <c r="D25">
        <v>40</v>
      </c>
      <c r="E25" t="s">
        <v>152</v>
      </c>
      <c r="F25">
        <v>1</v>
      </c>
      <c r="G25" t="s">
        <v>103</v>
      </c>
      <c r="H25" s="23">
        <v>93635</v>
      </c>
      <c r="I25" s="23">
        <v>15261</v>
      </c>
      <c r="J25">
        <v>669</v>
      </c>
      <c r="K25" t="s">
        <v>119</v>
      </c>
      <c r="L25" s="23">
        <v>340000</v>
      </c>
      <c r="M25">
        <v>48</v>
      </c>
      <c r="N25">
        <v>10.73</v>
      </c>
      <c r="O25">
        <v>5</v>
      </c>
      <c r="P25">
        <v>2</v>
      </c>
      <c r="Q25" t="s">
        <v>85</v>
      </c>
    </row>
    <row r="26" customHeight="1" spans="1:17">
      <c r="A26" t="s">
        <v>153</v>
      </c>
      <c r="B26" t="s">
        <v>154</v>
      </c>
      <c r="C26" t="s">
        <v>109</v>
      </c>
      <c r="D26">
        <v>40</v>
      </c>
      <c r="E26" t="s">
        <v>138</v>
      </c>
      <c r="F26">
        <v>1</v>
      </c>
      <c r="G26" t="s">
        <v>83</v>
      </c>
      <c r="H26" s="23">
        <v>29971</v>
      </c>
      <c r="I26" s="23">
        <v>13433</v>
      </c>
      <c r="J26">
        <v>668</v>
      </c>
      <c r="K26" t="s">
        <v>84</v>
      </c>
      <c r="L26" s="23">
        <v>1390000</v>
      </c>
      <c r="M26">
        <v>84</v>
      </c>
      <c r="N26">
        <v>11.67</v>
      </c>
      <c r="O26">
        <v>8</v>
      </c>
      <c r="P26">
        <v>1</v>
      </c>
      <c r="Q26" t="s">
        <v>85</v>
      </c>
    </row>
    <row r="27" customHeight="1" spans="1:17">
      <c r="A27" t="s">
        <v>155</v>
      </c>
      <c r="B27" t="s">
        <v>156</v>
      </c>
      <c r="C27" t="s">
        <v>81</v>
      </c>
      <c r="D27">
        <v>45</v>
      </c>
      <c r="E27" t="s">
        <v>157</v>
      </c>
      <c r="F27">
        <v>2</v>
      </c>
      <c r="G27" t="s">
        <v>89</v>
      </c>
      <c r="H27" s="23">
        <v>74477</v>
      </c>
      <c r="I27" s="23">
        <v>0</v>
      </c>
      <c r="J27">
        <v>715</v>
      </c>
      <c r="K27" t="s">
        <v>84</v>
      </c>
      <c r="L27" s="23">
        <v>1270000</v>
      </c>
      <c r="M27">
        <v>84</v>
      </c>
      <c r="N27">
        <v>11.1</v>
      </c>
      <c r="O27">
        <v>3</v>
      </c>
      <c r="P27">
        <v>4</v>
      </c>
      <c r="Q27" t="s">
        <v>85</v>
      </c>
    </row>
    <row r="28" customHeight="1" spans="1:17">
      <c r="A28" t="s">
        <v>158</v>
      </c>
      <c r="B28" t="s">
        <v>159</v>
      </c>
      <c r="C28" t="s">
        <v>81</v>
      </c>
      <c r="D28">
        <v>46</v>
      </c>
      <c r="E28" t="s">
        <v>110</v>
      </c>
      <c r="F28">
        <v>1</v>
      </c>
      <c r="G28" t="s">
        <v>116</v>
      </c>
      <c r="H28" s="23">
        <v>80352</v>
      </c>
      <c r="I28" s="23">
        <v>32137</v>
      </c>
      <c r="J28">
        <v>700</v>
      </c>
      <c r="K28" t="s">
        <v>84</v>
      </c>
      <c r="L28" s="23">
        <v>1110000</v>
      </c>
      <c r="M28">
        <v>84</v>
      </c>
      <c r="N28">
        <v>11.32</v>
      </c>
      <c r="O28">
        <v>1</v>
      </c>
      <c r="P28">
        <v>2</v>
      </c>
      <c r="Q28" t="s">
        <v>85</v>
      </c>
    </row>
    <row r="29" customHeight="1" spans="1:17">
      <c r="A29" t="s">
        <v>160</v>
      </c>
      <c r="B29" t="s">
        <v>161</v>
      </c>
      <c r="C29" t="s">
        <v>109</v>
      </c>
      <c r="D29">
        <v>21</v>
      </c>
      <c r="E29" t="s">
        <v>162</v>
      </c>
      <c r="F29">
        <v>1</v>
      </c>
      <c r="G29" t="s">
        <v>89</v>
      </c>
      <c r="H29" s="23">
        <v>47584</v>
      </c>
      <c r="I29" s="23">
        <v>0</v>
      </c>
      <c r="J29">
        <v>556</v>
      </c>
      <c r="K29" t="s">
        <v>119</v>
      </c>
      <c r="L29" s="23">
        <v>310000</v>
      </c>
      <c r="M29">
        <v>48</v>
      </c>
      <c r="N29">
        <v>11.3</v>
      </c>
      <c r="O29">
        <v>4</v>
      </c>
      <c r="P29">
        <v>1</v>
      </c>
      <c r="Q29" t="s">
        <v>85</v>
      </c>
    </row>
    <row r="30" customHeight="1" spans="1:17">
      <c r="A30" t="s">
        <v>163</v>
      </c>
      <c r="B30" t="s">
        <v>164</v>
      </c>
      <c r="C30" t="s">
        <v>81</v>
      </c>
      <c r="D30">
        <v>44</v>
      </c>
      <c r="E30" t="s">
        <v>128</v>
      </c>
      <c r="F30">
        <v>2</v>
      </c>
      <c r="G30" t="s">
        <v>89</v>
      </c>
      <c r="H30" s="23">
        <v>40206</v>
      </c>
      <c r="I30" s="23">
        <v>2380</v>
      </c>
      <c r="J30">
        <v>784</v>
      </c>
      <c r="K30" t="s">
        <v>90</v>
      </c>
      <c r="L30" s="23">
        <v>700000</v>
      </c>
      <c r="M30">
        <v>60</v>
      </c>
      <c r="N30">
        <v>9.47</v>
      </c>
      <c r="O30">
        <v>1</v>
      </c>
      <c r="P30">
        <v>0</v>
      </c>
      <c r="Q30" t="s">
        <v>85</v>
      </c>
    </row>
    <row r="31" customHeight="1" spans="1:17">
      <c r="A31" t="s">
        <v>165</v>
      </c>
      <c r="B31" t="s">
        <v>166</v>
      </c>
      <c r="C31" t="s">
        <v>81</v>
      </c>
      <c r="D31">
        <v>39</v>
      </c>
      <c r="E31" t="s">
        <v>110</v>
      </c>
      <c r="F31">
        <v>1</v>
      </c>
      <c r="G31" t="s">
        <v>89</v>
      </c>
      <c r="H31" s="23">
        <v>50462</v>
      </c>
      <c r="I31" s="23">
        <v>5636</v>
      </c>
      <c r="J31">
        <v>735</v>
      </c>
      <c r="K31" t="s">
        <v>125</v>
      </c>
      <c r="L31" s="23">
        <v>3780000</v>
      </c>
      <c r="M31">
        <v>240</v>
      </c>
      <c r="N31">
        <v>9.6</v>
      </c>
      <c r="O31">
        <v>2</v>
      </c>
      <c r="P31">
        <v>1</v>
      </c>
      <c r="Q31" t="s">
        <v>85</v>
      </c>
    </row>
    <row r="32" customHeight="1" spans="1:17">
      <c r="A32" t="s">
        <v>167</v>
      </c>
      <c r="B32" t="s">
        <v>168</v>
      </c>
      <c r="C32" t="s">
        <v>81</v>
      </c>
      <c r="D32">
        <v>32</v>
      </c>
      <c r="E32" t="s">
        <v>169</v>
      </c>
      <c r="F32">
        <v>3</v>
      </c>
      <c r="G32" t="s">
        <v>103</v>
      </c>
      <c r="H32" s="23">
        <v>39609</v>
      </c>
      <c r="I32" s="23">
        <v>0</v>
      </c>
      <c r="J32">
        <v>685</v>
      </c>
      <c r="K32" t="s">
        <v>131</v>
      </c>
      <c r="L32" s="23">
        <v>330000</v>
      </c>
      <c r="M32">
        <v>36</v>
      </c>
      <c r="N32">
        <v>13.11</v>
      </c>
      <c r="O32">
        <v>0</v>
      </c>
      <c r="P32">
        <v>4</v>
      </c>
      <c r="Q32" t="s">
        <v>85</v>
      </c>
    </row>
    <row r="33" customHeight="1" spans="1:17">
      <c r="A33" t="s">
        <v>170</v>
      </c>
      <c r="B33" t="s">
        <v>171</v>
      </c>
      <c r="C33" t="s">
        <v>109</v>
      </c>
      <c r="D33">
        <v>41</v>
      </c>
      <c r="E33" t="s">
        <v>172</v>
      </c>
      <c r="F33">
        <v>2</v>
      </c>
      <c r="G33" t="s">
        <v>89</v>
      </c>
      <c r="H33" s="23">
        <v>72614</v>
      </c>
      <c r="I33" s="23">
        <v>17817</v>
      </c>
      <c r="J33">
        <v>786</v>
      </c>
      <c r="K33" t="s">
        <v>90</v>
      </c>
      <c r="L33" s="23">
        <v>770000</v>
      </c>
      <c r="M33">
        <v>60</v>
      </c>
      <c r="N33">
        <v>10.54</v>
      </c>
      <c r="O33">
        <v>4</v>
      </c>
      <c r="P33">
        <v>0</v>
      </c>
      <c r="Q33" t="s">
        <v>85</v>
      </c>
    </row>
    <row r="34" customHeight="1" spans="1:17">
      <c r="A34" t="s">
        <v>173</v>
      </c>
      <c r="B34" t="s">
        <v>174</v>
      </c>
      <c r="C34" t="s">
        <v>109</v>
      </c>
      <c r="D34">
        <v>47</v>
      </c>
      <c r="E34" t="s">
        <v>162</v>
      </c>
      <c r="F34">
        <v>1</v>
      </c>
      <c r="G34" t="s">
        <v>89</v>
      </c>
      <c r="H34" s="23">
        <v>170408</v>
      </c>
      <c r="I34" s="23">
        <v>0</v>
      </c>
      <c r="J34">
        <v>656</v>
      </c>
      <c r="K34" t="s">
        <v>84</v>
      </c>
      <c r="L34" s="23">
        <v>1270000</v>
      </c>
      <c r="M34">
        <v>84</v>
      </c>
      <c r="N34">
        <v>10.88</v>
      </c>
      <c r="O34">
        <v>10</v>
      </c>
      <c r="P34">
        <v>1</v>
      </c>
      <c r="Q34" t="s">
        <v>85</v>
      </c>
    </row>
    <row r="35" customHeight="1" spans="1:17">
      <c r="A35" t="s">
        <v>175</v>
      </c>
      <c r="B35" t="s">
        <v>176</v>
      </c>
      <c r="C35" t="s">
        <v>109</v>
      </c>
      <c r="D35">
        <v>42</v>
      </c>
      <c r="E35" t="s">
        <v>82</v>
      </c>
      <c r="F35">
        <v>2</v>
      </c>
      <c r="G35" t="s">
        <v>103</v>
      </c>
      <c r="H35" s="23">
        <v>220752</v>
      </c>
      <c r="I35" s="23">
        <v>61499</v>
      </c>
      <c r="J35">
        <v>719</v>
      </c>
      <c r="K35" t="s">
        <v>90</v>
      </c>
      <c r="L35" s="23">
        <v>460000</v>
      </c>
      <c r="M35">
        <v>60</v>
      </c>
      <c r="N35">
        <v>10.07</v>
      </c>
      <c r="O35">
        <v>0</v>
      </c>
      <c r="P35">
        <v>1</v>
      </c>
      <c r="Q35" t="s">
        <v>85</v>
      </c>
    </row>
    <row r="36" customHeight="1" spans="1:17">
      <c r="A36" t="s">
        <v>177</v>
      </c>
      <c r="B36" t="s">
        <v>178</v>
      </c>
      <c r="C36" t="s">
        <v>109</v>
      </c>
      <c r="D36">
        <v>40</v>
      </c>
      <c r="E36" t="s">
        <v>179</v>
      </c>
      <c r="F36">
        <v>2</v>
      </c>
      <c r="G36" t="s">
        <v>83</v>
      </c>
      <c r="H36" s="23">
        <v>50733</v>
      </c>
      <c r="I36" s="23">
        <v>19304</v>
      </c>
      <c r="J36">
        <v>796</v>
      </c>
      <c r="K36" t="s">
        <v>95</v>
      </c>
      <c r="L36" s="23">
        <v>590000</v>
      </c>
      <c r="M36">
        <v>60</v>
      </c>
      <c r="N36">
        <v>14</v>
      </c>
      <c r="O36">
        <v>12</v>
      </c>
      <c r="P36">
        <v>1</v>
      </c>
      <c r="Q36" t="s">
        <v>91</v>
      </c>
    </row>
    <row r="37" customHeight="1" spans="1:17">
      <c r="A37" t="s">
        <v>180</v>
      </c>
      <c r="B37" t="s">
        <v>181</v>
      </c>
      <c r="C37" t="s">
        <v>81</v>
      </c>
      <c r="D37">
        <v>41</v>
      </c>
      <c r="E37" t="s">
        <v>182</v>
      </c>
      <c r="F37">
        <v>1</v>
      </c>
      <c r="G37" t="s">
        <v>116</v>
      </c>
      <c r="H37" s="23">
        <v>124552</v>
      </c>
      <c r="I37" s="23">
        <v>0</v>
      </c>
      <c r="J37">
        <v>696</v>
      </c>
      <c r="K37" t="s">
        <v>119</v>
      </c>
      <c r="L37" s="23">
        <v>680000</v>
      </c>
      <c r="M37">
        <v>48</v>
      </c>
      <c r="N37">
        <v>11.49</v>
      </c>
      <c r="O37">
        <v>8</v>
      </c>
      <c r="P37">
        <v>1</v>
      </c>
      <c r="Q37" t="s">
        <v>85</v>
      </c>
    </row>
    <row r="38" customHeight="1" spans="1:17">
      <c r="A38" t="s">
        <v>183</v>
      </c>
      <c r="B38" t="s">
        <v>184</v>
      </c>
      <c r="C38" t="s">
        <v>109</v>
      </c>
      <c r="D38">
        <v>32</v>
      </c>
      <c r="E38" t="s">
        <v>157</v>
      </c>
      <c r="F38">
        <v>2</v>
      </c>
      <c r="G38" t="s">
        <v>89</v>
      </c>
      <c r="H38" s="23">
        <v>72559</v>
      </c>
      <c r="I38" s="23">
        <v>0</v>
      </c>
      <c r="J38">
        <v>715</v>
      </c>
      <c r="K38" t="s">
        <v>119</v>
      </c>
      <c r="L38" s="23">
        <v>790000</v>
      </c>
      <c r="M38">
        <v>48</v>
      </c>
      <c r="N38">
        <v>11.89</v>
      </c>
      <c r="O38">
        <v>1</v>
      </c>
      <c r="P38">
        <v>0</v>
      </c>
      <c r="Q38" t="s">
        <v>85</v>
      </c>
    </row>
    <row r="39" customHeight="1" spans="1:17">
      <c r="A39" t="s">
        <v>185</v>
      </c>
      <c r="B39" t="s">
        <v>186</v>
      </c>
      <c r="C39" t="s">
        <v>109</v>
      </c>
      <c r="D39">
        <v>45</v>
      </c>
      <c r="E39" t="s">
        <v>162</v>
      </c>
      <c r="F39">
        <v>1</v>
      </c>
      <c r="G39" t="s">
        <v>83</v>
      </c>
      <c r="H39" s="23">
        <v>30322</v>
      </c>
      <c r="I39" s="23">
        <v>0</v>
      </c>
      <c r="J39">
        <v>872</v>
      </c>
      <c r="K39" t="s">
        <v>90</v>
      </c>
      <c r="L39" s="23">
        <v>680000</v>
      </c>
      <c r="M39">
        <v>60</v>
      </c>
      <c r="N39">
        <v>9.94</v>
      </c>
      <c r="O39">
        <v>11</v>
      </c>
      <c r="P39">
        <v>0</v>
      </c>
      <c r="Q39" t="s">
        <v>85</v>
      </c>
    </row>
    <row r="40" customHeight="1" spans="1:17">
      <c r="A40" t="s">
        <v>187</v>
      </c>
      <c r="B40" t="s">
        <v>188</v>
      </c>
      <c r="C40" t="s">
        <v>81</v>
      </c>
      <c r="D40">
        <v>44</v>
      </c>
      <c r="E40" t="s">
        <v>182</v>
      </c>
      <c r="F40">
        <v>1</v>
      </c>
      <c r="G40" t="s">
        <v>116</v>
      </c>
      <c r="H40" s="23">
        <v>93164</v>
      </c>
      <c r="I40" s="23">
        <v>0</v>
      </c>
      <c r="J40">
        <v>643</v>
      </c>
      <c r="K40" t="s">
        <v>95</v>
      </c>
      <c r="L40" s="23">
        <v>1470000</v>
      </c>
      <c r="M40">
        <v>60</v>
      </c>
      <c r="N40">
        <v>13.81</v>
      </c>
      <c r="O40">
        <v>6</v>
      </c>
      <c r="P40">
        <v>3</v>
      </c>
      <c r="Q40" t="s">
        <v>85</v>
      </c>
    </row>
    <row r="41" customHeight="1" spans="1:17">
      <c r="A41" t="s">
        <v>189</v>
      </c>
      <c r="B41" t="s">
        <v>190</v>
      </c>
      <c r="C41" t="s">
        <v>81</v>
      </c>
      <c r="D41">
        <v>30</v>
      </c>
      <c r="E41" t="s">
        <v>128</v>
      </c>
      <c r="F41">
        <v>2</v>
      </c>
      <c r="G41" t="s">
        <v>83</v>
      </c>
      <c r="H41" s="23">
        <v>45361</v>
      </c>
      <c r="I41" s="23">
        <v>0</v>
      </c>
      <c r="J41">
        <v>741</v>
      </c>
      <c r="K41" t="s">
        <v>119</v>
      </c>
      <c r="L41" s="23">
        <v>420000</v>
      </c>
      <c r="M41">
        <v>48</v>
      </c>
      <c r="N41">
        <v>11.93</v>
      </c>
      <c r="O41">
        <v>2</v>
      </c>
      <c r="P41">
        <v>3</v>
      </c>
      <c r="Q41" t="s">
        <v>85</v>
      </c>
    </row>
    <row r="42" customHeight="1" spans="1:17">
      <c r="A42" t="s">
        <v>191</v>
      </c>
      <c r="B42" t="s">
        <v>192</v>
      </c>
      <c r="C42" t="s">
        <v>109</v>
      </c>
      <c r="D42">
        <v>29</v>
      </c>
      <c r="E42" t="s">
        <v>82</v>
      </c>
      <c r="F42">
        <v>2</v>
      </c>
      <c r="G42" t="s">
        <v>89</v>
      </c>
      <c r="H42" s="23">
        <v>34350</v>
      </c>
      <c r="I42" s="23">
        <v>0</v>
      </c>
      <c r="J42">
        <v>633</v>
      </c>
      <c r="K42" t="s">
        <v>119</v>
      </c>
      <c r="L42" s="23">
        <v>170000</v>
      </c>
      <c r="M42">
        <v>48</v>
      </c>
      <c r="N42">
        <v>10.73</v>
      </c>
      <c r="O42">
        <v>3</v>
      </c>
      <c r="P42">
        <v>4</v>
      </c>
      <c r="Q42" t="s">
        <v>85</v>
      </c>
    </row>
    <row r="43" customHeight="1" spans="1:17">
      <c r="A43" t="s">
        <v>193</v>
      </c>
      <c r="B43" t="s">
        <v>194</v>
      </c>
      <c r="C43" t="s">
        <v>109</v>
      </c>
      <c r="D43">
        <v>35</v>
      </c>
      <c r="E43" t="s">
        <v>122</v>
      </c>
      <c r="F43">
        <v>2</v>
      </c>
      <c r="G43" t="s">
        <v>116</v>
      </c>
      <c r="H43" s="23">
        <v>60875</v>
      </c>
      <c r="I43" s="23">
        <v>0</v>
      </c>
      <c r="J43">
        <v>719</v>
      </c>
      <c r="K43" t="s">
        <v>95</v>
      </c>
      <c r="L43" s="23">
        <v>1700000</v>
      </c>
      <c r="M43">
        <v>60</v>
      </c>
      <c r="N43">
        <v>13.9</v>
      </c>
      <c r="O43">
        <v>9</v>
      </c>
      <c r="P43">
        <v>3</v>
      </c>
      <c r="Q43" t="s">
        <v>85</v>
      </c>
    </row>
    <row r="44" customHeight="1" spans="1:17">
      <c r="A44" t="s">
        <v>195</v>
      </c>
      <c r="B44" t="s">
        <v>87</v>
      </c>
      <c r="C44" t="s">
        <v>81</v>
      </c>
      <c r="D44">
        <v>21</v>
      </c>
      <c r="E44" t="s">
        <v>88</v>
      </c>
      <c r="F44">
        <v>3</v>
      </c>
      <c r="G44" t="s">
        <v>116</v>
      </c>
      <c r="H44" s="23">
        <v>35734</v>
      </c>
      <c r="I44" s="23">
        <v>2515</v>
      </c>
      <c r="J44">
        <v>755</v>
      </c>
      <c r="K44" t="s">
        <v>125</v>
      </c>
      <c r="L44" s="23">
        <v>5490000</v>
      </c>
      <c r="M44">
        <v>240</v>
      </c>
      <c r="N44">
        <v>8.62</v>
      </c>
      <c r="O44">
        <v>4</v>
      </c>
      <c r="P44">
        <v>4</v>
      </c>
      <c r="Q44" t="s">
        <v>91</v>
      </c>
    </row>
    <row r="45" customHeight="1" spans="1:17">
      <c r="A45" t="s">
        <v>196</v>
      </c>
      <c r="B45" t="s">
        <v>197</v>
      </c>
      <c r="C45" t="s">
        <v>81</v>
      </c>
      <c r="D45">
        <v>51</v>
      </c>
      <c r="E45" t="s">
        <v>138</v>
      </c>
      <c r="F45">
        <v>1</v>
      </c>
      <c r="G45" t="s">
        <v>83</v>
      </c>
      <c r="H45" s="23">
        <v>74304</v>
      </c>
      <c r="I45" s="23">
        <v>0</v>
      </c>
      <c r="J45">
        <v>798</v>
      </c>
      <c r="K45" t="s">
        <v>95</v>
      </c>
      <c r="L45" s="23">
        <v>1150000</v>
      </c>
      <c r="M45">
        <v>60</v>
      </c>
      <c r="N45">
        <v>14.97</v>
      </c>
      <c r="O45">
        <v>3</v>
      </c>
      <c r="P45">
        <v>2</v>
      </c>
      <c r="Q45" t="s">
        <v>85</v>
      </c>
    </row>
    <row r="46" customHeight="1" spans="1:17">
      <c r="A46" t="s">
        <v>198</v>
      </c>
      <c r="B46" t="s">
        <v>199</v>
      </c>
      <c r="C46" t="s">
        <v>109</v>
      </c>
      <c r="D46">
        <v>34</v>
      </c>
      <c r="E46" t="s">
        <v>94</v>
      </c>
      <c r="F46">
        <v>1</v>
      </c>
      <c r="G46" t="s">
        <v>83</v>
      </c>
      <c r="H46" s="23">
        <v>92935</v>
      </c>
      <c r="I46" s="23">
        <v>25443</v>
      </c>
      <c r="J46">
        <v>745</v>
      </c>
      <c r="K46" t="s">
        <v>95</v>
      </c>
      <c r="L46" s="23">
        <v>1120000</v>
      </c>
      <c r="M46">
        <v>60</v>
      </c>
      <c r="N46">
        <v>14.03</v>
      </c>
      <c r="O46">
        <v>4</v>
      </c>
      <c r="P46">
        <v>4</v>
      </c>
      <c r="Q46" t="s">
        <v>85</v>
      </c>
    </row>
    <row r="47" customHeight="1" spans="1:17">
      <c r="A47" t="s">
        <v>200</v>
      </c>
      <c r="B47" t="s">
        <v>201</v>
      </c>
      <c r="C47" t="s">
        <v>81</v>
      </c>
      <c r="D47">
        <v>27</v>
      </c>
      <c r="E47" t="s">
        <v>138</v>
      </c>
      <c r="F47">
        <v>1</v>
      </c>
      <c r="G47" t="s">
        <v>83</v>
      </c>
      <c r="H47" s="23">
        <v>32892</v>
      </c>
      <c r="I47" s="23">
        <v>0</v>
      </c>
      <c r="J47">
        <v>788</v>
      </c>
      <c r="K47" t="s">
        <v>84</v>
      </c>
      <c r="L47" s="23">
        <v>990000</v>
      </c>
      <c r="M47">
        <v>84</v>
      </c>
      <c r="N47">
        <v>10.6</v>
      </c>
      <c r="O47">
        <v>8</v>
      </c>
      <c r="P47">
        <v>1</v>
      </c>
      <c r="Q47" t="s">
        <v>85</v>
      </c>
    </row>
    <row r="48" customHeight="1" spans="1:17">
      <c r="A48" t="s">
        <v>202</v>
      </c>
      <c r="B48" t="s">
        <v>203</v>
      </c>
      <c r="C48" t="s">
        <v>109</v>
      </c>
      <c r="D48">
        <v>30</v>
      </c>
      <c r="E48" t="s">
        <v>169</v>
      </c>
      <c r="F48">
        <v>3</v>
      </c>
      <c r="G48" t="s">
        <v>89</v>
      </c>
      <c r="H48" s="23">
        <v>18000</v>
      </c>
      <c r="I48" s="23">
        <v>0</v>
      </c>
      <c r="J48">
        <v>767</v>
      </c>
      <c r="K48" t="s">
        <v>131</v>
      </c>
      <c r="L48" s="23">
        <v>350000</v>
      </c>
      <c r="M48">
        <v>36</v>
      </c>
      <c r="N48">
        <v>13.69</v>
      </c>
      <c r="O48">
        <v>3</v>
      </c>
      <c r="P48">
        <v>3</v>
      </c>
      <c r="Q48" t="s">
        <v>85</v>
      </c>
    </row>
    <row r="49" customHeight="1" spans="1:17">
      <c r="A49" t="s">
        <v>204</v>
      </c>
      <c r="B49" t="s">
        <v>205</v>
      </c>
      <c r="C49" t="s">
        <v>109</v>
      </c>
      <c r="D49">
        <v>30</v>
      </c>
      <c r="E49" t="s">
        <v>162</v>
      </c>
      <c r="F49">
        <v>1</v>
      </c>
      <c r="G49" t="s">
        <v>83</v>
      </c>
      <c r="H49" s="23">
        <v>33137</v>
      </c>
      <c r="I49" s="23">
        <v>9436</v>
      </c>
      <c r="J49">
        <v>667</v>
      </c>
      <c r="K49" t="s">
        <v>131</v>
      </c>
      <c r="L49" s="23">
        <v>280000</v>
      </c>
      <c r="M49">
        <v>36</v>
      </c>
      <c r="N49">
        <v>13.27</v>
      </c>
      <c r="O49">
        <v>0</v>
      </c>
      <c r="P49">
        <v>4</v>
      </c>
      <c r="Q49" t="s">
        <v>85</v>
      </c>
    </row>
    <row r="50" customHeight="1" spans="1:17">
      <c r="A50" t="s">
        <v>206</v>
      </c>
      <c r="B50" t="s">
        <v>207</v>
      </c>
      <c r="C50" t="s">
        <v>81</v>
      </c>
      <c r="D50">
        <v>37</v>
      </c>
      <c r="E50" t="s">
        <v>182</v>
      </c>
      <c r="F50">
        <v>1</v>
      </c>
      <c r="G50" t="s">
        <v>83</v>
      </c>
      <c r="H50" s="23">
        <v>19532</v>
      </c>
      <c r="I50" s="23">
        <v>7022</v>
      </c>
      <c r="J50">
        <v>653</v>
      </c>
      <c r="K50" t="s">
        <v>119</v>
      </c>
      <c r="L50" s="23">
        <v>240000</v>
      </c>
      <c r="M50">
        <v>48</v>
      </c>
      <c r="N50">
        <v>11.05</v>
      </c>
      <c r="O50">
        <v>2</v>
      </c>
      <c r="P50">
        <v>0</v>
      </c>
      <c r="Q50" t="s">
        <v>85</v>
      </c>
    </row>
    <row r="51" customHeight="1" spans="1:17">
      <c r="A51" t="s">
        <v>208</v>
      </c>
      <c r="B51" t="s">
        <v>209</v>
      </c>
      <c r="C51" t="s">
        <v>81</v>
      </c>
      <c r="D51">
        <v>33</v>
      </c>
      <c r="E51" t="s">
        <v>110</v>
      </c>
      <c r="F51">
        <v>1</v>
      </c>
      <c r="G51" t="s">
        <v>103</v>
      </c>
      <c r="H51" s="23">
        <v>135974</v>
      </c>
      <c r="I51" s="23">
        <v>0</v>
      </c>
      <c r="J51">
        <v>784</v>
      </c>
      <c r="K51" t="s">
        <v>119</v>
      </c>
      <c r="L51" s="23">
        <v>550000</v>
      </c>
      <c r="M51">
        <v>48</v>
      </c>
      <c r="N51">
        <v>12.19</v>
      </c>
      <c r="O51">
        <v>11</v>
      </c>
      <c r="P51">
        <v>3</v>
      </c>
      <c r="Q51" t="s">
        <v>85</v>
      </c>
    </row>
    <row r="52" customHeight="1" spans="1:17">
      <c r="A52" t="s">
        <v>210</v>
      </c>
      <c r="B52" t="s">
        <v>211</v>
      </c>
      <c r="C52" t="s">
        <v>81</v>
      </c>
      <c r="D52">
        <v>30</v>
      </c>
      <c r="E52" t="s">
        <v>94</v>
      </c>
      <c r="F52">
        <v>1</v>
      </c>
      <c r="G52" t="s">
        <v>83</v>
      </c>
      <c r="H52" s="23">
        <v>40615</v>
      </c>
      <c r="I52" s="23">
        <v>0</v>
      </c>
      <c r="J52">
        <v>790</v>
      </c>
      <c r="K52" t="s">
        <v>84</v>
      </c>
      <c r="L52" s="23">
        <v>360000</v>
      </c>
      <c r="M52">
        <v>84</v>
      </c>
      <c r="N52">
        <v>11.09</v>
      </c>
      <c r="O52">
        <v>3</v>
      </c>
      <c r="P52">
        <v>4</v>
      </c>
      <c r="Q52" t="s">
        <v>85</v>
      </c>
    </row>
    <row r="53" customHeight="1" spans="1:17">
      <c r="A53" t="s">
        <v>212</v>
      </c>
      <c r="B53" t="s">
        <v>213</v>
      </c>
      <c r="C53" t="s">
        <v>109</v>
      </c>
      <c r="D53">
        <v>49</v>
      </c>
      <c r="E53" t="s">
        <v>214</v>
      </c>
      <c r="F53">
        <v>2</v>
      </c>
      <c r="G53" t="s">
        <v>89</v>
      </c>
      <c r="H53" s="23">
        <v>82882</v>
      </c>
      <c r="I53" s="23">
        <v>29272</v>
      </c>
      <c r="J53">
        <v>827</v>
      </c>
      <c r="K53" t="s">
        <v>90</v>
      </c>
      <c r="L53" s="23">
        <v>640000</v>
      </c>
      <c r="M53">
        <v>60</v>
      </c>
      <c r="N53">
        <v>9.63</v>
      </c>
      <c r="O53">
        <v>10</v>
      </c>
      <c r="P53">
        <v>1</v>
      </c>
      <c r="Q53" t="s">
        <v>85</v>
      </c>
    </row>
    <row r="54" customHeight="1" spans="1:17">
      <c r="A54" t="s">
        <v>215</v>
      </c>
      <c r="B54" t="s">
        <v>216</v>
      </c>
      <c r="C54" t="s">
        <v>81</v>
      </c>
      <c r="D54">
        <v>23</v>
      </c>
      <c r="E54" t="s">
        <v>88</v>
      </c>
      <c r="F54">
        <v>3</v>
      </c>
      <c r="G54" t="s">
        <v>83</v>
      </c>
      <c r="H54" s="23">
        <v>71847</v>
      </c>
      <c r="I54" s="23">
        <v>0</v>
      </c>
      <c r="J54">
        <v>702</v>
      </c>
      <c r="K54" t="s">
        <v>119</v>
      </c>
      <c r="L54" s="23">
        <v>560000</v>
      </c>
      <c r="M54">
        <v>48</v>
      </c>
      <c r="N54">
        <v>12.04</v>
      </c>
      <c r="O54">
        <v>2</v>
      </c>
      <c r="P54">
        <v>4</v>
      </c>
      <c r="Q54" t="s">
        <v>85</v>
      </c>
    </row>
    <row r="55" customHeight="1" spans="1:17">
      <c r="A55" t="s">
        <v>217</v>
      </c>
      <c r="B55" t="s">
        <v>218</v>
      </c>
      <c r="C55" t="s">
        <v>109</v>
      </c>
      <c r="D55">
        <v>47</v>
      </c>
      <c r="E55" t="s">
        <v>162</v>
      </c>
      <c r="F55">
        <v>1</v>
      </c>
      <c r="G55" t="s">
        <v>116</v>
      </c>
      <c r="H55" s="23">
        <v>72151</v>
      </c>
      <c r="I55" s="23">
        <v>0</v>
      </c>
      <c r="J55">
        <v>674</v>
      </c>
      <c r="K55" t="s">
        <v>119</v>
      </c>
      <c r="L55" s="23">
        <v>460000</v>
      </c>
      <c r="M55">
        <v>48</v>
      </c>
      <c r="N55">
        <v>11.26</v>
      </c>
      <c r="O55">
        <v>12</v>
      </c>
      <c r="P55">
        <v>3</v>
      </c>
      <c r="Q55" t="s">
        <v>85</v>
      </c>
    </row>
    <row r="56" customHeight="1" spans="1:17">
      <c r="A56" t="s">
        <v>219</v>
      </c>
      <c r="B56" t="s">
        <v>220</v>
      </c>
      <c r="C56" t="s">
        <v>109</v>
      </c>
      <c r="D56">
        <v>53</v>
      </c>
      <c r="E56" t="s">
        <v>106</v>
      </c>
      <c r="F56">
        <v>2</v>
      </c>
      <c r="G56" t="s">
        <v>83</v>
      </c>
      <c r="H56" s="23">
        <v>82870</v>
      </c>
      <c r="I56" s="23">
        <v>13371</v>
      </c>
      <c r="J56">
        <v>623</v>
      </c>
      <c r="K56" t="s">
        <v>90</v>
      </c>
      <c r="L56" s="23">
        <v>1070000</v>
      </c>
      <c r="M56">
        <v>60</v>
      </c>
      <c r="N56">
        <v>10.14</v>
      </c>
      <c r="O56">
        <v>1</v>
      </c>
      <c r="P56">
        <v>3</v>
      </c>
      <c r="Q56" t="s">
        <v>85</v>
      </c>
    </row>
    <row r="57" customHeight="1" spans="1:17">
      <c r="A57" t="s">
        <v>221</v>
      </c>
      <c r="B57" t="s">
        <v>222</v>
      </c>
      <c r="C57" t="s">
        <v>81</v>
      </c>
      <c r="D57">
        <v>52</v>
      </c>
      <c r="E57" t="s">
        <v>106</v>
      </c>
      <c r="F57">
        <v>2</v>
      </c>
      <c r="G57" t="s">
        <v>89</v>
      </c>
      <c r="H57" s="23">
        <v>48299</v>
      </c>
      <c r="I57" s="23">
        <v>7913</v>
      </c>
      <c r="J57">
        <v>790</v>
      </c>
      <c r="K57" t="s">
        <v>95</v>
      </c>
      <c r="L57" s="23">
        <v>450000</v>
      </c>
      <c r="M57">
        <v>60</v>
      </c>
      <c r="N57">
        <v>14.07</v>
      </c>
      <c r="O57">
        <v>1</v>
      </c>
      <c r="P57">
        <v>4</v>
      </c>
      <c r="Q57" t="s">
        <v>85</v>
      </c>
    </row>
    <row r="58" customHeight="1" spans="1:17">
      <c r="A58" t="s">
        <v>223</v>
      </c>
      <c r="B58" t="s">
        <v>224</v>
      </c>
      <c r="C58" t="s">
        <v>81</v>
      </c>
      <c r="D58">
        <v>21</v>
      </c>
      <c r="E58" t="s">
        <v>172</v>
      </c>
      <c r="F58">
        <v>2</v>
      </c>
      <c r="G58" t="s">
        <v>83</v>
      </c>
      <c r="H58" s="23">
        <v>69575</v>
      </c>
      <c r="I58" s="23">
        <v>22878</v>
      </c>
      <c r="J58">
        <v>665</v>
      </c>
      <c r="K58" t="s">
        <v>90</v>
      </c>
      <c r="L58" s="23">
        <v>580000</v>
      </c>
      <c r="M58">
        <v>60</v>
      </c>
      <c r="N58">
        <v>9.95</v>
      </c>
      <c r="O58">
        <v>4</v>
      </c>
      <c r="P58">
        <v>2</v>
      </c>
      <c r="Q58" t="s">
        <v>85</v>
      </c>
    </row>
    <row r="59" customHeight="1" spans="1:17">
      <c r="A59" t="s">
        <v>225</v>
      </c>
      <c r="B59" t="s">
        <v>226</v>
      </c>
      <c r="C59" t="s">
        <v>109</v>
      </c>
      <c r="D59">
        <v>24</v>
      </c>
      <c r="E59" t="s">
        <v>110</v>
      </c>
      <c r="F59">
        <v>1</v>
      </c>
      <c r="G59" t="s">
        <v>83</v>
      </c>
      <c r="H59" s="23">
        <v>85465</v>
      </c>
      <c r="I59" s="23">
        <v>0</v>
      </c>
      <c r="J59">
        <v>725</v>
      </c>
      <c r="K59" t="s">
        <v>119</v>
      </c>
      <c r="L59" s="23">
        <v>750000</v>
      </c>
      <c r="M59">
        <v>48</v>
      </c>
      <c r="N59">
        <v>12</v>
      </c>
      <c r="O59">
        <v>8</v>
      </c>
      <c r="P59">
        <v>2</v>
      </c>
      <c r="Q59" t="s">
        <v>85</v>
      </c>
    </row>
    <row r="60" customHeight="1" spans="1:17">
      <c r="A60" t="s">
        <v>227</v>
      </c>
      <c r="B60" t="s">
        <v>228</v>
      </c>
      <c r="C60" t="s">
        <v>81</v>
      </c>
      <c r="D60">
        <v>35</v>
      </c>
      <c r="E60" t="s">
        <v>88</v>
      </c>
      <c r="F60">
        <v>3</v>
      </c>
      <c r="G60" t="s">
        <v>83</v>
      </c>
      <c r="H60" s="23">
        <v>40538</v>
      </c>
      <c r="I60" s="23">
        <v>950</v>
      </c>
      <c r="J60">
        <v>700</v>
      </c>
      <c r="K60" t="s">
        <v>125</v>
      </c>
      <c r="L60" s="23">
        <v>1290000</v>
      </c>
      <c r="M60">
        <v>240</v>
      </c>
      <c r="N60">
        <v>9.16</v>
      </c>
      <c r="O60">
        <v>5</v>
      </c>
      <c r="P60">
        <v>4</v>
      </c>
      <c r="Q60" t="s">
        <v>85</v>
      </c>
    </row>
    <row r="61" customHeight="1" spans="1:17">
      <c r="A61" t="s">
        <v>229</v>
      </c>
      <c r="B61" t="s">
        <v>230</v>
      </c>
      <c r="C61" t="s">
        <v>81</v>
      </c>
      <c r="D61">
        <v>42</v>
      </c>
      <c r="E61" t="s">
        <v>106</v>
      </c>
      <c r="F61">
        <v>2</v>
      </c>
      <c r="G61" t="s">
        <v>89</v>
      </c>
      <c r="H61" s="23">
        <v>71488</v>
      </c>
      <c r="I61" s="23">
        <v>6010</v>
      </c>
      <c r="J61">
        <v>762</v>
      </c>
      <c r="K61" t="s">
        <v>84</v>
      </c>
      <c r="L61" s="23">
        <v>880000</v>
      </c>
      <c r="M61">
        <v>84</v>
      </c>
      <c r="N61">
        <v>10.55</v>
      </c>
      <c r="O61">
        <v>3</v>
      </c>
      <c r="P61">
        <v>4</v>
      </c>
      <c r="Q61" t="s">
        <v>85</v>
      </c>
    </row>
    <row r="62" customHeight="1" spans="1:17">
      <c r="A62" t="s">
        <v>231</v>
      </c>
      <c r="B62" t="s">
        <v>232</v>
      </c>
      <c r="C62" t="s">
        <v>109</v>
      </c>
      <c r="D62">
        <v>27</v>
      </c>
      <c r="E62" t="s">
        <v>182</v>
      </c>
      <c r="F62">
        <v>1</v>
      </c>
      <c r="G62" t="s">
        <v>83</v>
      </c>
      <c r="H62" s="23">
        <v>62946</v>
      </c>
      <c r="I62" s="23">
        <v>27615</v>
      </c>
      <c r="J62">
        <v>724</v>
      </c>
      <c r="K62" t="s">
        <v>131</v>
      </c>
      <c r="L62" s="23">
        <v>390000</v>
      </c>
      <c r="M62">
        <v>36</v>
      </c>
      <c r="N62">
        <v>14.1</v>
      </c>
      <c r="O62">
        <v>3</v>
      </c>
      <c r="P62">
        <v>2</v>
      </c>
      <c r="Q62" t="s">
        <v>85</v>
      </c>
    </row>
    <row r="63" customHeight="1" spans="1:17">
      <c r="A63" t="s">
        <v>233</v>
      </c>
      <c r="B63" t="s">
        <v>234</v>
      </c>
      <c r="C63" t="s">
        <v>109</v>
      </c>
      <c r="D63">
        <v>44</v>
      </c>
      <c r="E63" t="s">
        <v>157</v>
      </c>
      <c r="F63">
        <v>2</v>
      </c>
      <c r="G63" t="s">
        <v>83</v>
      </c>
      <c r="H63" s="23">
        <v>61903</v>
      </c>
      <c r="I63" s="23">
        <v>20261</v>
      </c>
      <c r="J63">
        <v>714</v>
      </c>
      <c r="K63" t="s">
        <v>95</v>
      </c>
      <c r="L63" s="23">
        <v>830000</v>
      </c>
      <c r="M63">
        <v>60</v>
      </c>
      <c r="N63">
        <v>14.54</v>
      </c>
      <c r="O63">
        <v>2</v>
      </c>
      <c r="P63">
        <v>3</v>
      </c>
      <c r="Q63" t="s">
        <v>85</v>
      </c>
    </row>
    <row r="64" customHeight="1" spans="1:17">
      <c r="A64" t="s">
        <v>235</v>
      </c>
      <c r="B64" t="s">
        <v>236</v>
      </c>
      <c r="C64" t="s">
        <v>81</v>
      </c>
      <c r="D64">
        <v>33</v>
      </c>
      <c r="E64" t="s">
        <v>237</v>
      </c>
      <c r="F64">
        <v>1</v>
      </c>
      <c r="G64" t="s">
        <v>83</v>
      </c>
      <c r="H64" s="23">
        <v>45041</v>
      </c>
      <c r="I64" s="23">
        <v>18306</v>
      </c>
      <c r="J64">
        <v>672</v>
      </c>
      <c r="K64" t="s">
        <v>84</v>
      </c>
      <c r="L64" s="23">
        <v>970000</v>
      </c>
      <c r="M64">
        <v>84</v>
      </c>
      <c r="N64">
        <v>11.03</v>
      </c>
      <c r="O64">
        <v>1</v>
      </c>
      <c r="P64">
        <v>2</v>
      </c>
      <c r="Q64" t="s">
        <v>85</v>
      </c>
    </row>
    <row r="65" customHeight="1" spans="1:17">
      <c r="A65" t="s">
        <v>238</v>
      </c>
      <c r="B65" t="s">
        <v>239</v>
      </c>
      <c r="C65" t="s">
        <v>109</v>
      </c>
      <c r="D65">
        <v>44</v>
      </c>
      <c r="E65" t="s">
        <v>152</v>
      </c>
      <c r="F65">
        <v>1</v>
      </c>
      <c r="G65" t="s">
        <v>89</v>
      </c>
      <c r="H65" s="23">
        <v>62972</v>
      </c>
      <c r="I65" s="23">
        <v>0</v>
      </c>
      <c r="J65">
        <v>852</v>
      </c>
      <c r="K65" t="s">
        <v>84</v>
      </c>
      <c r="L65" s="23">
        <v>530000</v>
      </c>
      <c r="M65">
        <v>84</v>
      </c>
      <c r="N65">
        <v>11.21</v>
      </c>
      <c r="O65">
        <v>10</v>
      </c>
      <c r="P65">
        <v>1</v>
      </c>
      <c r="Q65" t="s">
        <v>85</v>
      </c>
    </row>
    <row r="66" customHeight="1" spans="1:17">
      <c r="A66" t="s">
        <v>240</v>
      </c>
      <c r="B66" t="s">
        <v>241</v>
      </c>
      <c r="C66" t="s">
        <v>109</v>
      </c>
      <c r="D66">
        <v>35</v>
      </c>
      <c r="E66" t="s">
        <v>82</v>
      </c>
      <c r="F66">
        <v>2</v>
      </c>
      <c r="G66" t="s">
        <v>83</v>
      </c>
      <c r="H66" s="23">
        <v>129573</v>
      </c>
      <c r="I66" s="23">
        <v>1928</v>
      </c>
      <c r="J66">
        <v>820</v>
      </c>
      <c r="K66" t="s">
        <v>95</v>
      </c>
      <c r="L66" s="23">
        <v>850000</v>
      </c>
      <c r="M66">
        <v>60</v>
      </c>
      <c r="N66">
        <v>13.88</v>
      </c>
      <c r="O66">
        <v>0</v>
      </c>
      <c r="P66">
        <v>1</v>
      </c>
      <c r="Q66" t="s">
        <v>85</v>
      </c>
    </row>
    <row r="67" customHeight="1" spans="1:17">
      <c r="A67" t="s">
        <v>242</v>
      </c>
      <c r="B67" t="s">
        <v>243</v>
      </c>
      <c r="C67" t="s">
        <v>109</v>
      </c>
      <c r="D67">
        <v>54</v>
      </c>
      <c r="E67" t="s">
        <v>115</v>
      </c>
      <c r="F67">
        <v>2</v>
      </c>
      <c r="G67" t="s">
        <v>103</v>
      </c>
      <c r="H67" s="23">
        <v>89867</v>
      </c>
      <c r="I67" s="23">
        <v>9966</v>
      </c>
      <c r="J67">
        <v>779</v>
      </c>
      <c r="K67" t="s">
        <v>90</v>
      </c>
      <c r="L67" s="23">
        <v>790000</v>
      </c>
      <c r="M67">
        <v>60</v>
      </c>
      <c r="N67">
        <v>10.05</v>
      </c>
      <c r="O67">
        <v>1</v>
      </c>
      <c r="P67">
        <v>4</v>
      </c>
      <c r="Q67" t="s">
        <v>85</v>
      </c>
    </row>
    <row r="68" customHeight="1" spans="1:17">
      <c r="A68" t="s">
        <v>244</v>
      </c>
      <c r="B68" t="s">
        <v>245</v>
      </c>
      <c r="C68" t="s">
        <v>81</v>
      </c>
      <c r="D68">
        <v>33</v>
      </c>
      <c r="E68" t="s">
        <v>152</v>
      </c>
      <c r="F68">
        <v>1</v>
      </c>
      <c r="G68" t="s">
        <v>89</v>
      </c>
      <c r="H68" s="23">
        <v>22482</v>
      </c>
      <c r="I68" s="23">
        <v>8010</v>
      </c>
      <c r="J68">
        <v>761</v>
      </c>
      <c r="K68" t="s">
        <v>90</v>
      </c>
      <c r="L68" s="23">
        <v>650000</v>
      </c>
      <c r="M68">
        <v>60</v>
      </c>
      <c r="N68">
        <v>10.31</v>
      </c>
      <c r="O68">
        <v>1</v>
      </c>
      <c r="P68">
        <v>4</v>
      </c>
      <c r="Q68" t="s">
        <v>91</v>
      </c>
    </row>
    <row r="69" customHeight="1" spans="1:17">
      <c r="A69" t="s">
        <v>246</v>
      </c>
      <c r="B69" t="s">
        <v>247</v>
      </c>
      <c r="C69" t="s">
        <v>81</v>
      </c>
      <c r="D69">
        <v>36</v>
      </c>
      <c r="E69" t="s">
        <v>169</v>
      </c>
      <c r="F69">
        <v>3</v>
      </c>
      <c r="G69" t="s">
        <v>83</v>
      </c>
      <c r="H69" s="23">
        <v>57360</v>
      </c>
      <c r="I69" s="23">
        <v>2833</v>
      </c>
      <c r="J69">
        <v>669</v>
      </c>
      <c r="K69" t="s">
        <v>95</v>
      </c>
      <c r="L69" s="23">
        <v>1120000</v>
      </c>
      <c r="M69">
        <v>60</v>
      </c>
      <c r="N69">
        <v>14.16</v>
      </c>
      <c r="O69">
        <v>3</v>
      </c>
      <c r="P69">
        <v>3</v>
      </c>
      <c r="Q69" t="s">
        <v>85</v>
      </c>
    </row>
    <row r="70" customHeight="1" spans="1:17">
      <c r="A70" t="s">
        <v>248</v>
      </c>
      <c r="B70" t="s">
        <v>249</v>
      </c>
      <c r="C70" t="s">
        <v>109</v>
      </c>
      <c r="D70">
        <v>32</v>
      </c>
      <c r="E70" t="s">
        <v>152</v>
      </c>
      <c r="F70">
        <v>1</v>
      </c>
      <c r="G70" t="s">
        <v>116</v>
      </c>
      <c r="H70" s="23">
        <v>102280</v>
      </c>
      <c r="I70" s="23">
        <v>0</v>
      </c>
      <c r="J70">
        <v>748</v>
      </c>
      <c r="K70" t="s">
        <v>119</v>
      </c>
      <c r="L70" s="23">
        <v>440000</v>
      </c>
      <c r="M70">
        <v>48</v>
      </c>
      <c r="N70">
        <v>11.03</v>
      </c>
      <c r="O70">
        <v>1</v>
      </c>
      <c r="P70">
        <v>2</v>
      </c>
      <c r="Q70" t="s">
        <v>85</v>
      </c>
    </row>
    <row r="71" customHeight="1" spans="1:17">
      <c r="A71" t="s">
        <v>250</v>
      </c>
      <c r="B71" t="s">
        <v>190</v>
      </c>
      <c r="C71" t="s">
        <v>81</v>
      </c>
      <c r="D71">
        <v>40</v>
      </c>
      <c r="E71" t="s">
        <v>149</v>
      </c>
      <c r="F71">
        <v>1</v>
      </c>
      <c r="G71" t="s">
        <v>103</v>
      </c>
      <c r="H71" s="23">
        <v>20687</v>
      </c>
      <c r="I71" s="23">
        <v>0</v>
      </c>
      <c r="J71">
        <v>688</v>
      </c>
      <c r="K71" t="s">
        <v>119</v>
      </c>
      <c r="L71" s="23">
        <v>540000</v>
      </c>
      <c r="M71">
        <v>48</v>
      </c>
      <c r="N71">
        <v>11.67</v>
      </c>
      <c r="O71">
        <v>0</v>
      </c>
      <c r="P71">
        <v>4</v>
      </c>
      <c r="Q71" t="s">
        <v>91</v>
      </c>
    </row>
    <row r="72" customHeight="1" spans="1:17">
      <c r="A72" t="s">
        <v>251</v>
      </c>
      <c r="B72" t="s">
        <v>252</v>
      </c>
      <c r="C72" t="s">
        <v>109</v>
      </c>
      <c r="D72">
        <v>47</v>
      </c>
      <c r="E72" t="s">
        <v>152</v>
      </c>
      <c r="F72">
        <v>1</v>
      </c>
      <c r="G72" t="s">
        <v>103</v>
      </c>
      <c r="H72" s="23">
        <v>79828</v>
      </c>
      <c r="I72" s="23">
        <v>17879</v>
      </c>
      <c r="J72">
        <v>743</v>
      </c>
      <c r="K72" t="s">
        <v>119</v>
      </c>
      <c r="L72" s="23">
        <v>670000</v>
      </c>
      <c r="M72">
        <v>48</v>
      </c>
      <c r="N72">
        <v>11.44</v>
      </c>
      <c r="O72">
        <v>5</v>
      </c>
      <c r="P72">
        <v>0</v>
      </c>
      <c r="Q72" t="s">
        <v>91</v>
      </c>
    </row>
    <row r="73" customHeight="1" spans="1:17">
      <c r="A73" t="s">
        <v>253</v>
      </c>
      <c r="B73" t="s">
        <v>254</v>
      </c>
      <c r="C73" t="s">
        <v>109</v>
      </c>
      <c r="D73">
        <v>34</v>
      </c>
      <c r="E73" t="s">
        <v>94</v>
      </c>
      <c r="F73">
        <v>1</v>
      </c>
      <c r="G73" t="s">
        <v>83</v>
      </c>
      <c r="H73" s="23">
        <v>29308</v>
      </c>
      <c r="I73" s="23">
        <v>6528</v>
      </c>
      <c r="J73">
        <v>702</v>
      </c>
      <c r="K73" t="s">
        <v>119</v>
      </c>
      <c r="L73" s="23">
        <v>380000</v>
      </c>
      <c r="M73">
        <v>48</v>
      </c>
      <c r="N73">
        <v>11.03</v>
      </c>
      <c r="O73">
        <v>1</v>
      </c>
      <c r="P73">
        <v>2</v>
      </c>
      <c r="Q73" t="s">
        <v>85</v>
      </c>
    </row>
    <row r="74" customHeight="1" spans="1:17">
      <c r="A74" t="s">
        <v>255</v>
      </c>
      <c r="B74" t="s">
        <v>256</v>
      </c>
      <c r="C74" t="s">
        <v>81</v>
      </c>
      <c r="D74">
        <v>32</v>
      </c>
      <c r="E74" t="s">
        <v>98</v>
      </c>
      <c r="F74">
        <v>2</v>
      </c>
      <c r="G74" t="s">
        <v>83</v>
      </c>
      <c r="H74" s="23">
        <v>23444</v>
      </c>
      <c r="I74" s="23">
        <v>6213</v>
      </c>
      <c r="J74">
        <v>733</v>
      </c>
      <c r="K74" t="s">
        <v>131</v>
      </c>
      <c r="L74" s="23">
        <v>410000</v>
      </c>
      <c r="M74">
        <v>36</v>
      </c>
      <c r="N74">
        <v>14.47</v>
      </c>
      <c r="O74">
        <v>5</v>
      </c>
      <c r="P74">
        <v>2</v>
      </c>
      <c r="Q74" t="s">
        <v>85</v>
      </c>
    </row>
    <row r="75" customHeight="1" spans="1:17">
      <c r="A75" t="s">
        <v>257</v>
      </c>
      <c r="B75" t="s">
        <v>258</v>
      </c>
      <c r="C75" t="s">
        <v>109</v>
      </c>
      <c r="D75">
        <v>42</v>
      </c>
      <c r="E75" t="s">
        <v>237</v>
      </c>
      <c r="F75">
        <v>1</v>
      </c>
      <c r="G75" t="s">
        <v>83</v>
      </c>
      <c r="H75" s="23">
        <v>59485</v>
      </c>
      <c r="I75" s="23">
        <v>0</v>
      </c>
      <c r="J75">
        <v>819</v>
      </c>
      <c r="K75" t="s">
        <v>131</v>
      </c>
      <c r="L75" s="23">
        <v>340000</v>
      </c>
      <c r="M75">
        <v>36</v>
      </c>
      <c r="N75">
        <v>13.12</v>
      </c>
      <c r="O75">
        <v>2</v>
      </c>
      <c r="P75">
        <v>2</v>
      </c>
      <c r="Q75" t="s">
        <v>85</v>
      </c>
    </row>
    <row r="76" customHeight="1" spans="1:17">
      <c r="A76" t="s">
        <v>259</v>
      </c>
      <c r="B76" t="s">
        <v>260</v>
      </c>
      <c r="C76" t="s">
        <v>81</v>
      </c>
      <c r="D76">
        <v>40</v>
      </c>
      <c r="E76" t="s">
        <v>122</v>
      </c>
      <c r="F76">
        <v>2</v>
      </c>
      <c r="G76" t="s">
        <v>103</v>
      </c>
      <c r="H76" s="23">
        <v>53251</v>
      </c>
      <c r="I76" s="23">
        <v>10059</v>
      </c>
      <c r="J76">
        <v>880</v>
      </c>
      <c r="K76" t="s">
        <v>84</v>
      </c>
      <c r="L76" s="23">
        <v>1390000</v>
      </c>
      <c r="M76">
        <v>84</v>
      </c>
      <c r="N76">
        <v>10.15</v>
      </c>
      <c r="O76">
        <v>8</v>
      </c>
      <c r="P76">
        <v>4</v>
      </c>
      <c r="Q76" t="s">
        <v>85</v>
      </c>
    </row>
    <row r="77" customHeight="1" spans="1:17">
      <c r="A77" t="s">
        <v>261</v>
      </c>
      <c r="B77" t="s">
        <v>262</v>
      </c>
      <c r="C77" t="s">
        <v>81</v>
      </c>
      <c r="D77">
        <v>30</v>
      </c>
      <c r="E77" t="s">
        <v>94</v>
      </c>
      <c r="F77">
        <v>1</v>
      </c>
      <c r="G77" t="s">
        <v>83</v>
      </c>
      <c r="H77" s="23">
        <v>50551</v>
      </c>
      <c r="I77" s="23">
        <v>15195</v>
      </c>
      <c r="J77">
        <v>714</v>
      </c>
      <c r="K77" t="s">
        <v>131</v>
      </c>
      <c r="L77" s="23">
        <v>340000</v>
      </c>
      <c r="M77">
        <v>36</v>
      </c>
      <c r="N77">
        <v>13.69</v>
      </c>
      <c r="O77">
        <v>7</v>
      </c>
      <c r="P77">
        <v>2</v>
      </c>
      <c r="Q77" t="s">
        <v>85</v>
      </c>
    </row>
    <row r="78" customHeight="1" spans="1:17">
      <c r="A78" t="s">
        <v>263</v>
      </c>
      <c r="B78" t="s">
        <v>264</v>
      </c>
      <c r="C78" t="s">
        <v>109</v>
      </c>
      <c r="D78">
        <v>24</v>
      </c>
      <c r="E78" t="s">
        <v>162</v>
      </c>
      <c r="F78">
        <v>1</v>
      </c>
      <c r="G78" t="s">
        <v>116</v>
      </c>
      <c r="H78" s="23">
        <v>69573</v>
      </c>
      <c r="I78" s="23">
        <v>0</v>
      </c>
      <c r="J78">
        <v>748</v>
      </c>
      <c r="K78" t="s">
        <v>95</v>
      </c>
      <c r="L78" s="23">
        <v>720000</v>
      </c>
      <c r="M78">
        <v>60</v>
      </c>
      <c r="N78">
        <v>15.13</v>
      </c>
      <c r="O78">
        <v>17</v>
      </c>
      <c r="P78">
        <v>4</v>
      </c>
      <c r="Q78" t="s">
        <v>85</v>
      </c>
    </row>
    <row r="79" customHeight="1" spans="1:17">
      <c r="A79" t="s">
        <v>265</v>
      </c>
      <c r="B79" t="s">
        <v>266</v>
      </c>
      <c r="C79" t="s">
        <v>109</v>
      </c>
      <c r="D79">
        <v>37</v>
      </c>
      <c r="E79" t="s">
        <v>88</v>
      </c>
      <c r="F79">
        <v>3</v>
      </c>
      <c r="G79" t="s">
        <v>83</v>
      </c>
      <c r="H79" s="23">
        <v>130953</v>
      </c>
      <c r="I79" s="23">
        <v>37590</v>
      </c>
      <c r="J79">
        <v>639</v>
      </c>
      <c r="K79" t="s">
        <v>119</v>
      </c>
      <c r="L79" s="23">
        <v>260000</v>
      </c>
      <c r="M79">
        <v>48</v>
      </c>
      <c r="N79">
        <v>11.23</v>
      </c>
      <c r="O79">
        <v>5</v>
      </c>
      <c r="P79">
        <v>1</v>
      </c>
      <c r="Q79" t="s">
        <v>85</v>
      </c>
    </row>
    <row r="80" customHeight="1" spans="1:17">
      <c r="A80" t="s">
        <v>267</v>
      </c>
      <c r="B80" t="s">
        <v>268</v>
      </c>
      <c r="C80" t="s">
        <v>81</v>
      </c>
      <c r="D80">
        <v>26</v>
      </c>
      <c r="E80" t="s">
        <v>138</v>
      </c>
      <c r="F80">
        <v>1</v>
      </c>
      <c r="G80" t="s">
        <v>83</v>
      </c>
      <c r="H80" s="23">
        <v>91991</v>
      </c>
      <c r="I80" s="23">
        <v>0</v>
      </c>
      <c r="J80">
        <v>663</v>
      </c>
      <c r="K80" t="s">
        <v>84</v>
      </c>
      <c r="L80" s="23">
        <v>990000</v>
      </c>
      <c r="M80">
        <v>84</v>
      </c>
      <c r="N80">
        <v>10.24</v>
      </c>
      <c r="O80">
        <v>5</v>
      </c>
      <c r="P80">
        <v>2</v>
      </c>
      <c r="Q80" t="s">
        <v>85</v>
      </c>
    </row>
    <row r="81" customHeight="1" spans="1:17">
      <c r="A81" t="s">
        <v>269</v>
      </c>
      <c r="B81" t="s">
        <v>270</v>
      </c>
      <c r="C81" t="s">
        <v>81</v>
      </c>
      <c r="D81">
        <v>30</v>
      </c>
      <c r="E81" t="s">
        <v>122</v>
      </c>
      <c r="F81">
        <v>2</v>
      </c>
      <c r="G81" t="s">
        <v>83</v>
      </c>
      <c r="H81" s="23">
        <v>121319</v>
      </c>
      <c r="I81" s="23">
        <v>0</v>
      </c>
      <c r="J81">
        <v>751</v>
      </c>
      <c r="K81" t="s">
        <v>90</v>
      </c>
      <c r="L81" s="23">
        <v>1080000</v>
      </c>
      <c r="M81">
        <v>60</v>
      </c>
      <c r="N81">
        <v>9.45</v>
      </c>
      <c r="O81">
        <v>3</v>
      </c>
      <c r="P81">
        <v>1</v>
      </c>
      <c r="Q81" t="s">
        <v>85</v>
      </c>
    </row>
    <row r="82" customHeight="1" spans="1:17">
      <c r="A82" t="s">
        <v>271</v>
      </c>
      <c r="B82" t="s">
        <v>272</v>
      </c>
      <c r="C82" t="s">
        <v>81</v>
      </c>
      <c r="D82">
        <v>32</v>
      </c>
      <c r="E82" t="s">
        <v>106</v>
      </c>
      <c r="F82">
        <v>2</v>
      </c>
      <c r="G82" t="s">
        <v>116</v>
      </c>
      <c r="H82" s="23">
        <v>81725</v>
      </c>
      <c r="I82" s="23">
        <v>18650</v>
      </c>
      <c r="J82">
        <v>779</v>
      </c>
      <c r="K82" t="s">
        <v>125</v>
      </c>
      <c r="L82" s="23">
        <v>2790000</v>
      </c>
      <c r="M82">
        <v>240</v>
      </c>
      <c r="N82">
        <v>9.15</v>
      </c>
      <c r="O82">
        <v>1</v>
      </c>
      <c r="P82">
        <v>1</v>
      </c>
      <c r="Q82" t="s">
        <v>91</v>
      </c>
    </row>
    <row r="83" customHeight="1" spans="1:17">
      <c r="A83" t="s">
        <v>273</v>
      </c>
      <c r="B83" t="s">
        <v>181</v>
      </c>
      <c r="C83" t="s">
        <v>81</v>
      </c>
      <c r="D83">
        <v>43</v>
      </c>
      <c r="E83" t="s">
        <v>182</v>
      </c>
      <c r="F83">
        <v>1</v>
      </c>
      <c r="G83" t="s">
        <v>103</v>
      </c>
      <c r="H83" s="23">
        <v>59054</v>
      </c>
      <c r="I83" s="23">
        <v>0</v>
      </c>
      <c r="J83">
        <v>695</v>
      </c>
      <c r="K83" t="s">
        <v>131</v>
      </c>
      <c r="L83" s="23">
        <v>360000</v>
      </c>
      <c r="M83">
        <v>36</v>
      </c>
      <c r="N83">
        <v>13.84</v>
      </c>
      <c r="O83">
        <v>1</v>
      </c>
      <c r="P83">
        <v>4</v>
      </c>
      <c r="Q83" t="s">
        <v>85</v>
      </c>
    </row>
    <row r="84" customHeight="1" spans="1:17">
      <c r="A84" t="s">
        <v>274</v>
      </c>
      <c r="B84" t="s">
        <v>275</v>
      </c>
      <c r="C84" t="s">
        <v>109</v>
      </c>
      <c r="D84">
        <v>33</v>
      </c>
      <c r="E84" t="s">
        <v>182</v>
      </c>
      <c r="F84">
        <v>1</v>
      </c>
      <c r="G84" t="s">
        <v>89</v>
      </c>
      <c r="H84" s="23">
        <v>113538</v>
      </c>
      <c r="I84" s="23">
        <v>38911</v>
      </c>
      <c r="J84">
        <v>731</v>
      </c>
      <c r="K84" t="s">
        <v>125</v>
      </c>
      <c r="L84" s="23">
        <v>3400000</v>
      </c>
      <c r="M84">
        <v>240</v>
      </c>
      <c r="N84">
        <v>8.51</v>
      </c>
      <c r="O84">
        <v>1</v>
      </c>
      <c r="P84">
        <v>4</v>
      </c>
      <c r="Q84" t="s">
        <v>85</v>
      </c>
    </row>
    <row r="85" customHeight="1" spans="1:17">
      <c r="A85" t="s">
        <v>276</v>
      </c>
      <c r="B85" t="s">
        <v>277</v>
      </c>
      <c r="C85" t="s">
        <v>109</v>
      </c>
      <c r="D85">
        <v>35</v>
      </c>
      <c r="E85" t="s">
        <v>110</v>
      </c>
      <c r="F85">
        <v>1</v>
      </c>
      <c r="G85" t="s">
        <v>83</v>
      </c>
      <c r="H85" s="23">
        <v>69445</v>
      </c>
      <c r="I85" s="23">
        <v>2027</v>
      </c>
      <c r="J85">
        <v>795</v>
      </c>
      <c r="K85" t="s">
        <v>125</v>
      </c>
      <c r="L85" s="23">
        <v>2370000</v>
      </c>
      <c r="M85">
        <v>240</v>
      </c>
      <c r="N85">
        <v>9.57</v>
      </c>
      <c r="O85">
        <v>0</v>
      </c>
      <c r="P85">
        <v>4</v>
      </c>
      <c r="Q85" t="s">
        <v>85</v>
      </c>
    </row>
    <row r="86" customHeight="1" spans="1:17">
      <c r="A86" t="s">
        <v>278</v>
      </c>
      <c r="B86" t="s">
        <v>272</v>
      </c>
      <c r="C86" t="s">
        <v>81</v>
      </c>
      <c r="D86">
        <v>29</v>
      </c>
      <c r="E86" t="s">
        <v>149</v>
      </c>
      <c r="F86">
        <v>1</v>
      </c>
      <c r="G86" t="s">
        <v>103</v>
      </c>
      <c r="H86" s="23">
        <v>28577</v>
      </c>
      <c r="I86" s="23">
        <v>0</v>
      </c>
      <c r="J86">
        <v>614</v>
      </c>
      <c r="K86" t="s">
        <v>90</v>
      </c>
      <c r="L86" s="23">
        <v>780000</v>
      </c>
      <c r="M86">
        <v>60</v>
      </c>
      <c r="N86">
        <v>9.84</v>
      </c>
      <c r="O86">
        <v>14</v>
      </c>
      <c r="P86">
        <v>4</v>
      </c>
      <c r="Q86" t="s">
        <v>91</v>
      </c>
    </row>
    <row r="87" customHeight="1" spans="1:17">
      <c r="A87" t="s">
        <v>279</v>
      </c>
      <c r="B87" t="s">
        <v>280</v>
      </c>
      <c r="C87" t="s">
        <v>81</v>
      </c>
      <c r="D87">
        <v>31</v>
      </c>
      <c r="E87" t="s">
        <v>106</v>
      </c>
      <c r="F87">
        <v>2</v>
      </c>
      <c r="G87" t="s">
        <v>103</v>
      </c>
      <c r="H87" s="23">
        <v>104949</v>
      </c>
      <c r="I87" s="23">
        <v>0</v>
      </c>
      <c r="J87">
        <v>740</v>
      </c>
      <c r="K87" t="s">
        <v>95</v>
      </c>
      <c r="L87" s="23">
        <v>1230000</v>
      </c>
      <c r="M87">
        <v>60</v>
      </c>
      <c r="N87">
        <v>14.67</v>
      </c>
      <c r="O87">
        <v>7</v>
      </c>
      <c r="P87">
        <v>1</v>
      </c>
      <c r="Q87" t="s">
        <v>85</v>
      </c>
    </row>
    <row r="88" customHeight="1" spans="1:17">
      <c r="A88" t="s">
        <v>281</v>
      </c>
      <c r="B88" t="s">
        <v>282</v>
      </c>
      <c r="C88" t="s">
        <v>81</v>
      </c>
      <c r="D88">
        <v>50</v>
      </c>
      <c r="E88" t="s">
        <v>179</v>
      </c>
      <c r="F88">
        <v>2</v>
      </c>
      <c r="G88" t="s">
        <v>83</v>
      </c>
      <c r="H88" s="23">
        <v>49257</v>
      </c>
      <c r="I88" s="23">
        <v>1198</v>
      </c>
      <c r="J88">
        <v>756</v>
      </c>
      <c r="K88" t="s">
        <v>95</v>
      </c>
      <c r="L88" s="23">
        <v>440000</v>
      </c>
      <c r="M88">
        <v>60</v>
      </c>
      <c r="N88">
        <v>13.89</v>
      </c>
      <c r="O88">
        <v>4</v>
      </c>
      <c r="P88">
        <v>2</v>
      </c>
      <c r="Q88" t="s">
        <v>85</v>
      </c>
    </row>
    <row r="89" customHeight="1" spans="1:17">
      <c r="A89" t="s">
        <v>283</v>
      </c>
      <c r="B89" t="s">
        <v>284</v>
      </c>
      <c r="C89" t="s">
        <v>81</v>
      </c>
      <c r="D89">
        <v>35</v>
      </c>
      <c r="E89" t="s">
        <v>152</v>
      </c>
      <c r="F89">
        <v>1</v>
      </c>
      <c r="G89" t="s">
        <v>89</v>
      </c>
      <c r="H89" s="23">
        <v>76775</v>
      </c>
      <c r="I89" s="23">
        <v>4364</v>
      </c>
      <c r="J89">
        <v>633</v>
      </c>
      <c r="K89" t="s">
        <v>95</v>
      </c>
      <c r="L89" s="23">
        <v>1590000</v>
      </c>
      <c r="M89">
        <v>60</v>
      </c>
      <c r="N89">
        <v>15.15</v>
      </c>
      <c r="O89">
        <v>3</v>
      </c>
      <c r="P89">
        <v>3</v>
      </c>
      <c r="Q89" t="s">
        <v>85</v>
      </c>
    </row>
    <row r="90" customHeight="1" spans="1:17">
      <c r="A90" t="s">
        <v>285</v>
      </c>
      <c r="B90" t="s">
        <v>286</v>
      </c>
      <c r="C90" t="s">
        <v>109</v>
      </c>
      <c r="D90">
        <v>25</v>
      </c>
      <c r="E90" t="s">
        <v>138</v>
      </c>
      <c r="F90">
        <v>1</v>
      </c>
      <c r="G90" t="s">
        <v>89</v>
      </c>
      <c r="H90" s="23">
        <v>72332</v>
      </c>
      <c r="I90" s="23">
        <v>11189</v>
      </c>
      <c r="J90">
        <v>761</v>
      </c>
      <c r="K90" t="s">
        <v>90</v>
      </c>
      <c r="L90" s="23">
        <v>1080000</v>
      </c>
      <c r="M90">
        <v>60</v>
      </c>
      <c r="N90">
        <v>9.9</v>
      </c>
      <c r="O90">
        <v>2</v>
      </c>
      <c r="P90">
        <v>1</v>
      </c>
      <c r="Q90" t="s">
        <v>85</v>
      </c>
    </row>
    <row r="91" customHeight="1" spans="1:17">
      <c r="A91" t="s">
        <v>287</v>
      </c>
      <c r="B91" t="s">
        <v>288</v>
      </c>
      <c r="C91" t="s">
        <v>81</v>
      </c>
      <c r="D91">
        <v>36</v>
      </c>
      <c r="E91" t="s">
        <v>106</v>
      </c>
      <c r="F91">
        <v>2</v>
      </c>
      <c r="G91" t="s">
        <v>103</v>
      </c>
      <c r="H91" s="23">
        <v>28722</v>
      </c>
      <c r="I91" s="23">
        <v>0</v>
      </c>
      <c r="J91">
        <v>680</v>
      </c>
      <c r="K91" t="s">
        <v>119</v>
      </c>
      <c r="L91" s="23">
        <v>680000</v>
      </c>
      <c r="M91">
        <v>48</v>
      </c>
      <c r="N91">
        <v>11.44</v>
      </c>
      <c r="O91">
        <v>4</v>
      </c>
      <c r="P91">
        <v>0</v>
      </c>
      <c r="Q91" t="s">
        <v>85</v>
      </c>
    </row>
    <row r="92" customHeight="1" spans="1:17">
      <c r="A92" t="s">
        <v>289</v>
      </c>
      <c r="B92" t="s">
        <v>290</v>
      </c>
      <c r="C92" t="s">
        <v>109</v>
      </c>
      <c r="D92">
        <v>28</v>
      </c>
      <c r="E92" t="s">
        <v>169</v>
      </c>
      <c r="F92">
        <v>3</v>
      </c>
      <c r="G92" t="s">
        <v>89</v>
      </c>
      <c r="H92" s="23">
        <v>102447</v>
      </c>
      <c r="I92" s="23">
        <v>23622</v>
      </c>
      <c r="J92">
        <v>785</v>
      </c>
      <c r="K92" t="s">
        <v>95</v>
      </c>
      <c r="L92" s="23">
        <v>1460000</v>
      </c>
      <c r="M92">
        <v>60</v>
      </c>
      <c r="N92">
        <v>13.78</v>
      </c>
      <c r="O92">
        <v>6</v>
      </c>
      <c r="P92">
        <v>2</v>
      </c>
      <c r="Q92" t="s">
        <v>85</v>
      </c>
    </row>
    <row r="93" customHeight="1" spans="1:17">
      <c r="A93" t="s">
        <v>291</v>
      </c>
      <c r="B93" t="s">
        <v>292</v>
      </c>
      <c r="C93" t="s">
        <v>109</v>
      </c>
      <c r="D93">
        <v>34</v>
      </c>
      <c r="E93" t="s">
        <v>179</v>
      </c>
      <c r="F93">
        <v>2</v>
      </c>
      <c r="G93" t="s">
        <v>89</v>
      </c>
      <c r="H93" s="23">
        <v>81166</v>
      </c>
      <c r="I93" s="23">
        <v>223</v>
      </c>
      <c r="J93">
        <v>628</v>
      </c>
      <c r="K93" t="s">
        <v>131</v>
      </c>
      <c r="L93" s="23">
        <v>160000</v>
      </c>
      <c r="M93">
        <v>36</v>
      </c>
      <c r="N93">
        <v>14.53</v>
      </c>
      <c r="O93">
        <v>4</v>
      </c>
      <c r="P93">
        <v>4</v>
      </c>
      <c r="Q93" t="s">
        <v>85</v>
      </c>
    </row>
    <row r="94" customHeight="1" spans="1:17">
      <c r="A94" t="s">
        <v>293</v>
      </c>
      <c r="B94" t="s">
        <v>294</v>
      </c>
      <c r="C94" t="s">
        <v>81</v>
      </c>
      <c r="D94">
        <v>33</v>
      </c>
      <c r="E94" t="s">
        <v>172</v>
      </c>
      <c r="F94">
        <v>2</v>
      </c>
      <c r="G94" t="s">
        <v>83</v>
      </c>
      <c r="H94" s="23">
        <v>127074</v>
      </c>
      <c r="I94" s="23">
        <v>0</v>
      </c>
      <c r="J94">
        <v>818</v>
      </c>
      <c r="K94" t="s">
        <v>95</v>
      </c>
      <c r="L94" s="23">
        <v>680000</v>
      </c>
      <c r="M94">
        <v>60</v>
      </c>
      <c r="N94">
        <v>14.57</v>
      </c>
      <c r="O94">
        <v>2</v>
      </c>
      <c r="P94">
        <v>4</v>
      </c>
      <c r="Q94" t="s">
        <v>85</v>
      </c>
    </row>
    <row r="95" customHeight="1" spans="1:17">
      <c r="A95" t="s">
        <v>295</v>
      </c>
      <c r="B95" t="s">
        <v>296</v>
      </c>
      <c r="C95" t="s">
        <v>81</v>
      </c>
      <c r="D95">
        <v>35</v>
      </c>
      <c r="E95" t="s">
        <v>94</v>
      </c>
      <c r="F95">
        <v>1</v>
      </c>
      <c r="G95" t="s">
        <v>83</v>
      </c>
      <c r="H95" s="23">
        <v>142862</v>
      </c>
      <c r="I95" s="23">
        <v>0</v>
      </c>
      <c r="J95">
        <v>706</v>
      </c>
      <c r="K95" t="s">
        <v>90</v>
      </c>
      <c r="L95" s="23">
        <v>610000</v>
      </c>
      <c r="M95">
        <v>60</v>
      </c>
      <c r="N95">
        <v>9.39</v>
      </c>
      <c r="O95">
        <v>4</v>
      </c>
      <c r="P95">
        <v>4</v>
      </c>
      <c r="Q95" t="s">
        <v>85</v>
      </c>
    </row>
    <row r="96" customHeight="1" spans="1:17">
      <c r="A96" t="s">
        <v>297</v>
      </c>
      <c r="B96" t="s">
        <v>298</v>
      </c>
      <c r="C96" t="s">
        <v>109</v>
      </c>
      <c r="D96">
        <v>53</v>
      </c>
      <c r="E96" t="s">
        <v>128</v>
      </c>
      <c r="F96">
        <v>2</v>
      </c>
      <c r="G96" t="s">
        <v>83</v>
      </c>
      <c r="H96" s="23">
        <v>39275</v>
      </c>
      <c r="I96" s="23">
        <v>0</v>
      </c>
      <c r="J96">
        <v>838</v>
      </c>
      <c r="K96" t="s">
        <v>125</v>
      </c>
      <c r="L96" s="23">
        <v>5050000</v>
      </c>
      <c r="M96">
        <v>240</v>
      </c>
      <c r="N96">
        <v>9.18</v>
      </c>
      <c r="O96">
        <v>1</v>
      </c>
      <c r="P96">
        <v>4</v>
      </c>
      <c r="Q96" t="s">
        <v>85</v>
      </c>
    </row>
    <row r="97" customHeight="1" spans="1:17">
      <c r="A97" t="s">
        <v>299</v>
      </c>
      <c r="B97" t="s">
        <v>300</v>
      </c>
      <c r="C97" t="s">
        <v>109</v>
      </c>
      <c r="D97">
        <v>46</v>
      </c>
      <c r="E97" t="s">
        <v>115</v>
      </c>
      <c r="F97">
        <v>2</v>
      </c>
      <c r="G97" t="s">
        <v>83</v>
      </c>
      <c r="H97" s="23">
        <v>42691</v>
      </c>
      <c r="I97" s="23">
        <v>0</v>
      </c>
      <c r="J97">
        <v>794</v>
      </c>
      <c r="K97" t="s">
        <v>90</v>
      </c>
      <c r="L97" s="23">
        <v>540000</v>
      </c>
      <c r="M97">
        <v>60</v>
      </c>
      <c r="N97">
        <v>10.47</v>
      </c>
      <c r="O97">
        <v>1</v>
      </c>
      <c r="P97">
        <v>0</v>
      </c>
      <c r="Q97" t="s">
        <v>85</v>
      </c>
    </row>
    <row r="98" customHeight="1" spans="1:17">
      <c r="A98" t="s">
        <v>301</v>
      </c>
      <c r="B98" t="s">
        <v>302</v>
      </c>
      <c r="C98" t="s">
        <v>109</v>
      </c>
      <c r="D98">
        <v>35</v>
      </c>
      <c r="E98" t="s">
        <v>179</v>
      </c>
      <c r="F98">
        <v>2</v>
      </c>
      <c r="G98" t="s">
        <v>89</v>
      </c>
      <c r="H98" s="23">
        <v>68977</v>
      </c>
      <c r="I98" s="23">
        <v>1025</v>
      </c>
      <c r="J98">
        <v>744</v>
      </c>
      <c r="K98" t="s">
        <v>119</v>
      </c>
      <c r="L98" s="23">
        <v>610000</v>
      </c>
      <c r="M98">
        <v>48</v>
      </c>
      <c r="N98">
        <v>12.19</v>
      </c>
      <c r="O98">
        <v>0</v>
      </c>
      <c r="P98">
        <v>4</v>
      </c>
      <c r="Q98" t="s">
        <v>85</v>
      </c>
    </row>
    <row r="99" customHeight="1" spans="1:17">
      <c r="A99" t="s">
        <v>303</v>
      </c>
      <c r="B99" t="s">
        <v>304</v>
      </c>
      <c r="C99" t="s">
        <v>109</v>
      </c>
      <c r="D99">
        <v>42</v>
      </c>
      <c r="E99" t="s">
        <v>237</v>
      </c>
      <c r="F99">
        <v>1</v>
      </c>
      <c r="G99" t="s">
        <v>83</v>
      </c>
      <c r="H99" s="23">
        <v>115858</v>
      </c>
      <c r="I99" s="23">
        <v>18361</v>
      </c>
      <c r="J99">
        <v>802</v>
      </c>
      <c r="K99" t="s">
        <v>125</v>
      </c>
      <c r="L99" s="23">
        <v>3890000</v>
      </c>
      <c r="M99">
        <v>240</v>
      </c>
      <c r="N99">
        <v>8.34</v>
      </c>
      <c r="O99">
        <v>10</v>
      </c>
      <c r="P99">
        <v>2</v>
      </c>
      <c r="Q99" t="s">
        <v>85</v>
      </c>
    </row>
    <row r="100" customHeight="1" spans="1:17">
      <c r="A100" t="s">
        <v>305</v>
      </c>
      <c r="B100" t="s">
        <v>306</v>
      </c>
      <c r="C100" t="s">
        <v>109</v>
      </c>
      <c r="D100">
        <v>30</v>
      </c>
      <c r="E100" t="s">
        <v>182</v>
      </c>
      <c r="F100">
        <v>1</v>
      </c>
      <c r="G100" t="s">
        <v>116</v>
      </c>
      <c r="H100" s="23">
        <v>42029</v>
      </c>
      <c r="I100" s="23">
        <v>1480</v>
      </c>
      <c r="J100">
        <v>682</v>
      </c>
      <c r="K100" t="s">
        <v>90</v>
      </c>
      <c r="L100" s="23">
        <v>780000</v>
      </c>
      <c r="M100">
        <v>60</v>
      </c>
      <c r="N100">
        <v>10.47</v>
      </c>
      <c r="O100">
        <v>3</v>
      </c>
      <c r="P100">
        <v>1</v>
      </c>
      <c r="Q100" t="s">
        <v>91</v>
      </c>
    </row>
    <row r="101" customHeight="1" spans="1:17">
      <c r="A101" t="s">
        <v>307</v>
      </c>
      <c r="B101" t="s">
        <v>308</v>
      </c>
      <c r="C101" t="s">
        <v>81</v>
      </c>
      <c r="D101">
        <v>21</v>
      </c>
      <c r="E101" t="s">
        <v>122</v>
      </c>
      <c r="F101">
        <v>2</v>
      </c>
      <c r="G101" t="s">
        <v>83</v>
      </c>
      <c r="H101" s="23">
        <v>35892</v>
      </c>
      <c r="I101" s="23">
        <v>1480</v>
      </c>
      <c r="J101">
        <v>760</v>
      </c>
      <c r="K101" t="s">
        <v>95</v>
      </c>
      <c r="L101" s="23">
        <v>1070000</v>
      </c>
      <c r="M101">
        <v>60</v>
      </c>
      <c r="N101">
        <v>14.01</v>
      </c>
      <c r="O101">
        <v>1</v>
      </c>
      <c r="P101">
        <v>0</v>
      </c>
      <c r="Q101" t="s">
        <v>85</v>
      </c>
    </row>
    <row r="102" customHeight="1" spans="1:17">
      <c r="A102" t="s">
        <v>309</v>
      </c>
      <c r="B102" t="s">
        <v>310</v>
      </c>
      <c r="C102" t="s">
        <v>81</v>
      </c>
      <c r="D102">
        <v>43</v>
      </c>
      <c r="E102" t="s">
        <v>214</v>
      </c>
      <c r="F102">
        <v>2</v>
      </c>
      <c r="G102" t="s">
        <v>83</v>
      </c>
      <c r="H102" s="23">
        <v>27341</v>
      </c>
      <c r="I102" s="23">
        <v>4265</v>
      </c>
      <c r="J102">
        <v>721</v>
      </c>
      <c r="K102" t="s">
        <v>125</v>
      </c>
      <c r="L102" s="23">
        <v>2910000</v>
      </c>
      <c r="M102">
        <v>240</v>
      </c>
      <c r="N102">
        <v>9.43</v>
      </c>
      <c r="O102">
        <v>2</v>
      </c>
      <c r="P102">
        <v>4</v>
      </c>
      <c r="Q102" t="s">
        <v>85</v>
      </c>
    </row>
    <row r="103" customHeight="1" spans="1:17">
      <c r="A103" t="s">
        <v>311</v>
      </c>
      <c r="B103" t="s">
        <v>312</v>
      </c>
      <c r="C103" t="s">
        <v>81</v>
      </c>
      <c r="D103">
        <v>40</v>
      </c>
      <c r="E103" t="s">
        <v>169</v>
      </c>
      <c r="F103">
        <v>3</v>
      </c>
      <c r="G103" t="s">
        <v>83</v>
      </c>
      <c r="H103" s="23">
        <v>89361</v>
      </c>
      <c r="I103" s="23">
        <v>7201</v>
      </c>
      <c r="J103">
        <v>813</v>
      </c>
      <c r="K103" t="s">
        <v>95</v>
      </c>
      <c r="L103" s="23">
        <v>1400000</v>
      </c>
      <c r="M103">
        <v>60</v>
      </c>
      <c r="N103">
        <v>14.6</v>
      </c>
      <c r="O103">
        <v>1</v>
      </c>
      <c r="P103">
        <v>0</v>
      </c>
      <c r="Q103" t="s">
        <v>85</v>
      </c>
    </row>
    <row r="104" customHeight="1" spans="1:17">
      <c r="A104" t="s">
        <v>313</v>
      </c>
      <c r="B104" t="s">
        <v>314</v>
      </c>
      <c r="C104" t="s">
        <v>81</v>
      </c>
      <c r="D104">
        <v>55</v>
      </c>
      <c r="E104" t="s">
        <v>82</v>
      </c>
      <c r="F104">
        <v>2</v>
      </c>
      <c r="G104" t="s">
        <v>83</v>
      </c>
      <c r="H104" s="23">
        <v>40049</v>
      </c>
      <c r="I104" s="23">
        <v>981</v>
      </c>
      <c r="J104">
        <v>591</v>
      </c>
      <c r="K104" t="s">
        <v>95</v>
      </c>
      <c r="L104" s="23">
        <v>1840000</v>
      </c>
      <c r="M104">
        <v>60</v>
      </c>
      <c r="N104">
        <v>14.35</v>
      </c>
      <c r="O104">
        <v>9</v>
      </c>
      <c r="P104">
        <v>2</v>
      </c>
      <c r="Q104" t="s">
        <v>85</v>
      </c>
    </row>
    <row r="105" customHeight="1" spans="1:17">
      <c r="A105" t="s">
        <v>315</v>
      </c>
      <c r="B105" t="s">
        <v>194</v>
      </c>
      <c r="C105" t="s">
        <v>109</v>
      </c>
      <c r="D105">
        <v>46</v>
      </c>
      <c r="E105" t="s">
        <v>106</v>
      </c>
      <c r="F105">
        <v>2</v>
      </c>
      <c r="G105" t="s">
        <v>83</v>
      </c>
      <c r="H105" s="23">
        <v>116416</v>
      </c>
      <c r="I105" s="23">
        <v>50061</v>
      </c>
      <c r="J105">
        <v>635</v>
      </c>
      <c r="K105" t="s">
        <v>119</v>
      </c>
      <c r="L105" s="23">
        <v>370000</v>
      </c>
      <c r="M105">
        <v>48</v>
      </c>
      <c r="N105">
        <v>10.62</v>
      </c>
      <c r="O105">
        <v>2</v>
      </c>
      <c r="P105">
        <v>3</v>
      </c>
      <c r="Q105" t="s">
        <v>85</v>
      </c>
    </row>
    <row r="106" customHeight="1" spans="1:17">
      <c r="A106" t="s">
        <v>316</v>
      </c>
      <c r="B106" t="s">
        <v>317</v>
      </c>
      <c r="C106" t="s">
        <v>81</v>
      </c>
      <c r="D106">
        <v>26</v>
      </c>
      <c r="E106" t="s">
        <v>172</v>
      </c>
      <c r="F106">
        <v>2</v>
      </c>
      <c r="G106" t="s">
        <v>103</v>
      </c>
      <c r="H106" s="23">
        <v>30784</v>
      </c>
      <c r="I106" s="23">
        <v>1145</v>
      </c>
      <c r="J106">
        <v>637</v>
      </c>
      <c r="K106" t="s">
        <v>131</v>
      </c>
      <c r="L106" s="23">
        <v>370000</v>
      </c>
      <c r="M106">
        <v>36</v>
      </c>
      <c r="N106">
        <v>14.28</v>
      </c>
      <c r="O106">
        <v>2</v>
      </c>
      <c r="P106">
        <v>1</v>
      </c>
      <c r="Q106" t="s">
        <v>85</v>
      </c>
    </row>
    <row r="107" customHeight="1" spans="1:17">
      <c r="A107" t="s">
        <v>318</v>
      </c>
      <c r="B107" t="s">
        <v>319</v>
      </c>
      <c r="C107" t="s">
        <v>81</v>
      </c>
      <c r="D107">
        <v>43</v>
      </c>
      <c r="E107" t="s">
        <v>162</v>
      </c>
      <c r="F107">
        <v>1</v>
      </c>
      <c r="G107" t="s">
        <v>89</v>
      </c>
      <c r="H107" s="23">
        <v>121160</v>
      </c>
      <c r="I107" s="23">
        <v>0</v>
      </c>
      <c r="J107">
        <v>721</v>
      </c>
      <c r="K107" t="s">
        <v>131</v>
      </c>
      <c r="L107" s="23">
        <v>410000</v>
      </c>
      <c r="M107">
        <v>36</v>
      </c>
      <c r="N107">
        <v>13.8</v>
      </c>
      <c r="O107">
        <v>0</v>
      </c>
      <c r="P107">
        <v>3</v>
      </c>
      <c r="Q107" t="s">
        <v>85</v>
      </c>
    </row>
    <row r="108" customHeight="1" spans="1:17">
      <c r="A108" t="s">
        <v>320</v>
      </c>
      <c r="B108" t="s">
        <v>321</v>
      </c>
      <c r="C108" t="s">
        <v>81</v>
      </c>
      <c r="D108">
        <v>25</v>
      </c>
      <c r="E108" t="s">
        <v>106</v>
      </c>
      <c r="F108">
        <v>2</v>
      </c>
      <c r="G108" t="s">
        <v>83</v>
      </c>
      <c r="H108" s="23">
        <v>158049</v>
      </c>
      <c r="I108" s="23">
        <v>0</v>
      </c>
      <c r="J108">
        <v>624</v>
      </c>
      <c r="K108" t="s">
        <v>119</v>
      </c>
      <c r="L108" s="23">
        <v>790000</v>
      </c>
      <c r="M108">
        <v>48</v>
      </c>
      <c r="N108">
        <v>11.2</v>
      </c>
      <c r="O108">
        <v>3</v>
      </c>
      <c r="P108">
        <v>0</v>
      </c>
      <c r="Q108" t="s">
        <v>91</v>
      </c>
    </row>
    <row r="109" customHeight="1" spans="1:17">
      <c r="A109" t="s">
        <v>322</v>
      </c>
      <c r="B109" t="s">
        <v>323</v>
      </c>
      <c r="C109" t="s">
        <v>81</v>
      </c>
      <c r="D109">
        <v>27</v>
      </c>
      <c r="E109" t="s">
        <v>172</v>
      </c>
      <c r="F109">
        <v>2</v>
      </c>
      <c r="G109" t="s">
        <v>116</v>
      </c>
      <c r="H109" s="23">
        <v>105609</v>
      </c>
      <c r="I109" s="23">
        <v>23511</v>
      </c>
      <c r="J109">
        <v>696</v>
      </c>
      <c r="K109" t="s">
        <v>119</v>
      </c>
      <c r="L109" s="23">
        <v>260000</v>
      </c>
      <c r="M109">
        <v>48</v>
      </c>
      <c r="N109">
        <v>11.14</v>
      </c>
      <c r="O109">
        <v>5</v>
      </c>
      <c r="P109">
        <v>3</v>
      </c>
      <c r="Q109" t="s">
        <v>85</v>
      </c>
    </row>
    <row r="110" customHeight="1" spans="1:17">
      <c r="A110" t="s">
        <v>324</v>
      </c>
      <c r="B110" t="s">
        <v>325</v>
      </c>
      <c r="C110" t="s">
        <v>81</v>
      </c>
      <c r="D110">
        <v>45</v>
      </c>
      <c r="E110" t="s">
        <v>169</v>
      </c>
      <c r="F110">
        <v>3</v>
      </c>
      <c r="G110" t="s">
        <v>116</v>
      </c>
      <c r="H110" s="23">
        <v>132143</v>
      </c>
      <c r="I110" s="23">
        <v>5840</v>
      </c>
      <c r="J110">
        <v>757</v>
      </c>
      <c r="K110" t="s">
        <v>95</v>
      </c>
      <c r="L110" s="23">
        <v>690000</v>
      </c>
      <c r="M110">
        <v>60</v>
      </c>
      <c r="N110">
        <v>15.14</v>
      </c>
      <c r="O110">
        <v>0</v>
      </c>
      <c r="P110">
        <v>4</v>
      </c>
      <c r="Q110" t="s">
        <v>85</v>
      </c>
    </row>
    <row r="111" customHeight="1" spans="1:17">
      <c r="A111" t="s">
        <v>326</v>
      </c>
      <c r="B111" t="s">
        <v>100</v>
      </c>
      <c r="C111" t="s">
        <v>81</v>
      </c>
      <c r="D111">
        <v>21</v>
      </c>
      <c r="E111" t="s">
        <v>169</v>
      </c>
      <c r="F111">
        <v>3</v>
      </c>
      <c r="G111" t="s">
        <v>103</v>
      </c>
      <c r="H111" s="23">
        <v>104031</v>
      </c>
      <c r="I111" s="23">
        <v>31863</v>
      </c>
      <c r="J111">
        <v>707</v>
      </c>
      <c r="K111" t="s">
        <v>125</v>
      </c>
      <c r="L111" s="23">
        <v>4020000</v>
      </c>
      <c r="M111">
        <v>240</v>
      </c>
      <c r="N111">
        <v>8.5</v>
      </c>
      <c r="O111">
        <v>2</v>
      </c>
      <c r="P111">
        <v>1</v>
      </c>
      <c r="Q111" t="s">
        <v>85</v>
      </c>
    </row>
    <row r="112" customHeight="1" spans="1:17">
      <c r="A112" t="s">
        <v>327</v>
      </c>
      <c r="B112" t="s">
        <v>328</v>
      </c>
      <c r="C112" t="s">
        <v>109</v>
      </c>
      <c r="D112">
        <v>37</v>
      </c>
      <c r="E112" t="s">
        <v>172</v>
      </c>
      <c r="F112">
        <v>2</v>
      </c>
      <c r="G112" t="s">
        <v>83</v>
      </c>
      <c r="H112" s="23">
        <v>143430</v>
      </c>
      <c r="I112" s="23">
        <v>27992</v>
      </c>
      <c r="J112">
        <v>751</v>
      </c>
      <c r="K112" t="s">
        <v>95</v>
      </c>
      <c r="L112" s="23">
        <v>1490000</v>
      </c>
      <c r="M112">
        <v>60</v>
      </c>
      <c r="N112">
        <v>13.61</v>
      </c>
      <c r="O112">
        <v>2</v>
      </c>
      <c r="P112">
        <v>3</v>
      </c>
      <c r="Q112" t="s">
        <v>85</v>
      </c>
    </row>
    <row r="113" customHeight="1" spans="1:17">
      <c r="A113" t="s">
        <v>329</v>
      </c>
      <c r="B113" t="s">
        <v>330</v>
      </c>
      <c r="C113" t="s">
        <v>109</v>
      </c>
      <c r="D113">
        <v>28</v>
      </c>
      <c r="E113" t="s">
        <v>182</v>
      </c>
      <c r="F113">
        <v>1</v>
      </c>
      <c r="G113" t="s">
        <v>83</v>
      </c>
      <c r="H113" s="23">
        <v>33373</v>
      </c>
      <c r="I113" s="23">
        <v>8777</v>
      </c>
      <c r="J113">
        <v>774</v>
      </c>
      <c r="K113" t="s">
        <v>119</v>
      </c>
      <c r="L113" s="23">
        <v>800000</v>
      </c>
      <c r="M113">
        <v>48</v>
      </c>
      <c r="N113">
        <v>12.02</v>
      </c>
      <c r="O113">
        <v>0</v>
      </c>
      <c r="P113">
        <v>2</v>
      </c>
      <c r="Q113" t="s">
        <v>85</v>
      </c>
    </row>
    <row r="114" customHeight="1" spans="1:17">
      <c r="A114" t="s">
        <v>331</v>
      </c>
      <c r="B114" t="s">
        <v>332</v>
      </c>
      <c r="C114" t="s">
        <v>109</v>
      </c>
      <c r="D114">
        <v>40</v>
      </c>
      <c r="E114" t="s">
        <v>115</v>
      </c>
      <c r="F114">
        <v>2</v>
      </c>
      <c r="G114" t="s">
        <v>89</v>
      </c>
      <c r="H114" s="23">
        <v>44575</v>
      </c>
      <c r="I114" s="23">
        <v>0</v>
      </c>
      <c r="J114">
        <v>796</v>
      </c>
      <c r="K114" t="s">
        <v>84</v>
      </c>
      <c r="L114" s="23">
        <v>1080000</v>
      </c>
      <c r="M114">
        <v>84</v>
      </c>
      <c r="N114">
        <v>10.2</v>
      </c>
      <c r="O114">
        <v>0</v>
      </c>
      <c r="P114">
        <v>4</v>
      </c>
      <c r="Q114" t="s">
        <v>85</v>
      </c>
    </row>
    <row r="115" customHeight="1" spans="1:17">
      <c r="A115" t="s">
        <v>333</v>
      </c>
      <c r="B115" t="s">
        <v>334</v>
      </c>
      <c r="C115" t="s">
        <v>81</v>
      </c>
      <c r="D115">
        <v>26</v>
      </c>
      <c r="E115" t="s">
        <v>179</v>
      </c>
      <c r="F115">
        <v>2</v>
      </c>
      <c r="G115" t="s">
        <v>83</v>
      </c>
      <c r="H115" s="23">
        <v>40389</v>
      </c>
      <c r="I115" s="23">
        <v>0</v>
      </c>
      <c r="J115">
        <v>702</v>
      </c>
      <c r="K115" t="s">
        <v>131</v>
      </c>
      <c r="L115" s="23">
        <v>230000</v>
      </c>
      <c r="M115">
        <v>36</v>
      </c>
      <c r="N115">
        <v>13.75</v>
      </c>
      <c r="O115">
        <v>1</v>
      </c>
      <c r="P115">
        <v>1</v>
      </c>
      <c r="Q115" t="s">
        <v>85</v>
      </c>
    </row>
    <row r="116" customHeight="1" spans="1:17">
      <c r="A116" t="s">
        <v>335</v>
      </c>
      <c r="B116" t="s">
        <v>290</v>
      </c>
      <c r="C116" t="s">
        <v>109</v>
      </c>
      <c r="D116">
        <v>27</v>
      </c>
      <c r="E116" t="s">
        <v>138</v>
      </c>
      <c r="F116">
        <v>1</v>
      </c>
      <c r="G116" t="s">
        <v>83</v>
      </c>
      <c r="H116" s="23">
        <v>72430</v>
      </c>
      <c r="I116" s="23">
        <v>0</v>
      </c>
      <c r="J116">
        <v>743</v>
      </c>
      <c r="K116" t="s">
        <v>119</v>
      </c>
      <c r="L116" s="23">
        <v>210000</v>
      </c>
      <c r="M116">
        <v>48</v>
      </c>
      <c r="N116">
        <v>10.8</v>
      </c>
      <c r="O116">
        <v>0</v>
      </c>
      <c r="P116">
        <v>4</v>
      </c>
      <c r="Q116" t="s">
        <v>85</v>
      </c>
    </row>
    <row r="117" customHeight="1" spans="1:17">
      <c r="A117" t="s">
        <v>336</v>
      </c>
      <c r="B117" t="s">
        <v>337</v>
      </c>
      <c r="C117" t="s">
        <v>81</v>
      </c>
      <c r="D117">
        <v>21</v>
      </c>
      <c r="E117" t="s">
        <v>122</v>
      </c>
      <c r="F117">
        <v>2</v>
      </c>
      <c r="G117" t="s">
        <v>83</v>
      </c>
      <c r="H117" s="23">
        <v>116334</v>
      </c>
      <c r="I117" s="23">
        <v>0</v>
      </c>
      <c r="J117">
        <v>735</v>
      </c>
      <c r="K117" t="s">
        <v>125</v>
      </c>
      <c r="L117" s="23">
        <v>2020000</v>
      </c>
      <c r="M117">
        <v>240</v>
      </c>
      <c r="N117">
        <v>8.39</v>
      </c>
      <c r="O117">
        <v>12</v>
      </c>
      <c r="P117">
        <v>0</v>
      </c>
      <c r="Q117" t="s">
        <v>85</v>
      </c>
    </row>
    <row r="118" customHeight="1" spans="1:17">
      <c r="A118" t="s">
        <v>338</v>
      </c>
      <c r="B118" t="s">
        <v>339</v>
      </c>
      <c r="C118" t="s">
        <v>81</v>
      </c>
      <c r="D118">
        <v>21</v>
      </c>
      <c r="E118" t="s">
        <v>157</v>
      </c>
      <c r="F118">
        <v>2</v>
      </c>
      <c r="G118" t="s">
        <v>89</v>
      </c>
      <c r="H118" s="23">
        <v>89819</v>
      </c>
      <c r="I118" s="23">
        <v>0</v>
      </c>
      <c r="J118">
        <v>697</v>
      </c>
      <c r="K118" t="s">
        <v>84</v>
      </c>
      <c r="L118" s="23">
        <v>310000</v>
      </c>
      <c r="M118">
        <v>84</v>
      </c>
      <c r="N118">
        <v>10.23</v>
      </c>
      <c r="O118">
        <v>6</v>
      </c>
      <c r="P118">
        <v>2</v>
      </c>
      <c r="Q118" t="s">
        <v>85</v>
      </c>
    </row>
    <row r="119" customHeight="1" spans="1:17">
      <c r="A119" t="s">
        <v>340</v>
      </c>
      <c r="B119" t="s">
        <v>80</v>
      </c>
      <c r="C119" t="s">
        <v>81</v>
      </c>
      <c r="D119">
        <v>35</v>
      </c>
      <c r="E119" t="s">
        <v>152</v>
      </c>
      <c r="F119">
        <v>1</v>
      </c>
      <c r="G119" t="s">
        <v>116</v>
      </c>
      <c r="H119" s="23">
        <v>86832</v>
      </c>
      <c r="I119" s="23">
        <v>15995</v>
      </c>
      <c r="J119">
        <v>743</v>
      </c>
      <c r="K119" t="s">
        <v>95</v>
      </c>
      <c r="L119" s="23">
        <v>640000</v>
      </c>
      <c r="M119">
        <v>60</v>
      </c>
      <c r="N119">
        <v>14.68</v>
      </c>
      <c r="O119">
        <v>0</v>
      </c>
      <c r="P119">
        <v>1</v>
      </c>
      <c r="Q119" t="s">
        <v>85</v>
      </c>
    </row>
    <row r="120" customHeight="1" spans="1:17">
      <c r="A120" t="s">
        <v>341</v>
      </c>
      <c r="B120" t="s">
        <v>342</v>
      </c>
      <c r="C120" t="s">
        <v>81</v>
      </c>
      <c r="D120">
        <v>32</v>
      </c>
      <c r="E120" t="s">
        <v>110</v>
      </c>
      <c r="F120">
        <v>1</v>
      </c>
      <c r="G120" t="s">
        <v>83</v>
      </c>
      <c r="H120" s="23">
        <v>64319</v>
      </c>
      <c r="I120" s="23">
        <v>0</v>
      </c>
      <c r="J120">
        <v>741</v>
      </c>
      <c r="K120" t="s">
        <v>119</v>
      </c>
      <c r="L120" s="23">
        <v>470000</v>
      </c>
      <c r="M120">
        <v>48</v>
      </c>
      <c r="N120">
        <v>12.18</v>
      </c>
      <c r="O120">
        <v>9</v>
      </c>
      <c r="P120">
        <v>4</v>
      </c>
      <c r="Q120" t="s">
        <v>85</v>
      </c>
    </row>
    <row r="121" customHeight="1" spans="1:17">
      <c r="A121" t="s">
        <v>343</v>
      </c>
      <c r="B121" t="s">
        <v>124</v>
      </c>
      <c r="C121" t="s">
        <v>109</v>
      </c>
      <c r="D121">
        <v>25</v>
      </c>
      <c r="E121" t="s">
        <v>237</v>
      </c>
      <c r="F121">
        <v>1</v>
      </c>
      <c r="G121" t="s">
        <v>83</v>
      </c>
      <c r="H121" s="23">
        <v>114417</v>
      </c>
      <c r="I121" s="23">
        <v>31073</v>
      </c>
      <c r="J121">
        <v>635</v>
      </c>
      <c r="K121" t="s">
        <v>131</v>
      </c>
      <c r="L121" s="23">
        <v>460000</v>
      </c>
      <c r="M121">
        <v>36</v>
      </c>
      <c r="N121">
        <v>14.5</v>
      </c>
      <c r="O121">
        <v>1</v>
      </c>
      <c r="P121">
        <v>1</v>
      </c>
      <c r="Q121" t="s">
        <v>85</v>
      </c>
    </row>
    <row r="122" customHeight="1" spans="1:17">
      <c r="A122" t="s">
        <v>344</v>
      </c>
      <c r="B122" t="s">
        <v>345</v>
      </c>
      <c r="C122" t="s">
        <v>109</v>
      </c>
      <c r="D122">
        <v>39</v>
      </c>
      <c r="E122" t="s">
        <v>115</v>
      </c>
      <c r="F122">
        <v>2</v>
      </c>
      <c r="G122" t="s">
        <v>83</v>
      </c>
      <c r="H122" s="23">
        <v>132736</v>
      </c>
      <c r="I122" s="23">
        <v>12355</v>
      </c>
      <c r="J122">
        <v>733</v>
      </c>
      <c r="K122" t="s">
        <v>125</v>
      </c>
      <c r="L122" s="23">
        <v>1250000</v>
      </c>
      <c r="M122">
        <v>240</v>
      </c>
      <c r="N122">
        <v>8.71</v>
      </c>
      <c r="O122">
        <v>3</v>
      </c>
      <c r="P122">
        <v>4</v>
      </c>
      <c r="Q122" t="s">
        <v>85</v>
      </c>
    </row>
    <row r="123" customHeight="1" spans="1:17">
      <c r="A123" t="s">
        <v>346</v>
      </c>
      <c r="B123" t="s">
        <v>347</v>
      </c>
      <c r="C123" t="s">
        <v>81</v>
      </c>
      <c r="D123">
        <v>37</v>
      </c>
      <c r="E123" t="s">
        <v>182</v>
      </c>
      <c r="F123">
        <v>1</v>
      </c>
      <c r="G123" t="s">
        <v>89</v>
      </c>
      <c r="H123" s="23">
        <v>59176</v>
      </c>
      <c r="I123" s="23">
        <v>0</v>
      </c>
      <c r="J123">
        <v>880</v>
      </c>
      <c r="K123" t="s">
        <v>90</v>
      </c>
      <c r="L123" s="23">
        <v>850000</v>
      </c>
      <c r="M123">
        <v>60</v>
      </c>
      <c r="N123">
        <v>10.6</v>
      </c>
      <c r="O123">
        <v>6</v>
      </c>
      <c r="P123">
        <v>1</v>
      </c>
      <c r="Q123" t="s">
        <v>85</v>
      </c>
    </row>
    <row r="124" customHeight="1" spans="1:17">
      <c r="A124" t="s">
        <v>348</v>
      </c>
      <c r="B124" t="s">
        <v>349</v>
      </c>
      <c r="C124" t="s">
        <v>81</v>
      </c>
      <c r="D124">
        <v>37</v>
      </c>
      <c r="E124" t="s">
        <v>172</v>
      </c>
      <c r="F124">
        <v>2</v>
      </c>
      <c r="G124" t="s">
        <v>89</v>
      </c>
      <c r="H124" s="23">
        <v>53569</v>
      </c>
      <c r="I124" s="23">
        <v>14990</v>
      </c>
      <c r="J124">
        <v>811</v>
      </c>
      <c r="K124" t="s">
        <v>125</v>
      </c>
      <c r="L124" s="23">
        <v>3690000</v>
      </c>
      <c r="M124">
        <v>240</v>
      </c>
      <c r="N124">
        <v>9.16</v>
      </c>
      <c r="O124">
        <v>3</v>
      </c>
      <c r="P124">
        <v>4</v>
      </c>
      <c r="Q124" t="s">
        <v>85</v>
      </c>
    </row>
    <row r="125" customHeight="1" spans="1:17">
      <c r="A125" t="s">
        <v>350</v>
      </c>
      <c r="B125" t="s">
        <v>351</v>
      </c>
      <c r="C125" t="s">
        <v>109</v>
      </c>
      <c r="D125">
        <v>36</v>
      </c>
      <c r="E125" t="s">
        <v>152</v>
      </c>
      <c r="F125">
        <v>1</v>
      </c>
      <c r="G125" t="s">
        <v>89</v>
      </c>
      <c r="H125" s="23">
        <v>33687</v>
      </c>
      <c r="I125" s="23">
        <v>10154</v>
      </c>
      <c r="J125">
        <v>748</v>
      </c>
      <c r="K125" t="s">
        <v>95</v>
      </c>
      <c r="L125" s="23">
        <v>1200000</v>
      </c>
      <c r="M125">
        <v>60</v>
      </c>
      <c r="N125">
        <v>13.98</v>
      </c>
      <c r="O125">
        <v>0</v>
      </c>
      <c r="P125">
        <v>3</v>
      </c>
      <c r="Q125" t="s">
        <v>85</v>
      </c>
    </row>
    <row r="126" customHeight="1" spans="1:17">
      <c r="A126" t="s">
        <v>352</v>
      </c>
      <c r="B126" t="s">
        <v>353</v>
      </c>
      <c r="C126" t="s">
        <v>81</v>
      </c>
      <c r="D126">
        <v>43</v>
      </c>
      <c r="E126" t="s">
        <v>179</v>
      </c>
      <c r="F126">
        <v>2</v>
      </c>
      <c r="G126" t="s">
        <v>83</v>
      </c>
      <c r="H126" s="23">
        <v>35841</v>
      </c>
      <c r="I126" s="23">
        <v>0</v>
      </c>
      <c r="J126">
        <v>746</v>
      </c>
      <c r="K126" t="s">
        <v>131</v>
      </c>
      <c r="L126" s="23">
        <v>390000</v>
      </c>
      <c r="M126">
        <v>36</v>
      </c>
      <c r="N126">
        <v>13.78</v>
      </c>
      <c r="O126">
        <v>4</v>
      </c>
      <c r="P126">
        <v>3</v>
      </c>
      <c r="Q126" t="s">
        <v>85</v>
      </c>
    </row>
    <row r="127" customHeight="1" spans="1:17">
      <c r="A127" t="s">
        <v>354</v>
      </c>
      <c r="B127" t="s">
        <v>355</v>
      </c>
      <c r="C127" t="s">
        <v>81</v>
      </c>
      <c r="D127">
        <v>31</v>
      </c>
      <c r="E127" t="s">
        <v>172</v>
      </c>
      <c r="F127">
        <v>2</v>
      </c>
      <c r="G127" t="s">
        <v>83</v>
      </c>
      <c r="H127" s="23">
        <v>44906</v>
      </c>
      <c r="I127" s="23">
        <v>15862</v>
      </c>
      <c r="J127">
        <v>737</v>
      </c>
      <c r="K127" t="s">
        <v>84</v>
      </c>
      <c r="L127" s="23">
        <v>470000</v>
      </c>
      <c r="M127">
        <v>84</v>
      </c>
      <c r="N127">
        <v>11.03</v>
      </c>
      <c r="O127">
        <v>4</v>
      </c>
      <c r="P127">
        <v>1</v>
      </c>
      <c r="Q127" t="s">
        <v>85</v>
      </c>
    </row>
    <row r="128" customHeight="1" spans="1:17">
      <c r="A128" t="s">
        <v>356</v>
      </c>
      <c r="B128" t="s">
        <v>357</v>
      </c>
      <c r="C128" t="s">
        <v>81</v>
      </c>
      <c r="D128">
        <v>30</v>
      </c>
      <c r="E128" t="s">
        <v>122</v>
      </c>
      <c r="F128">
        <v>2</v>
      </c>
      <c r="G128" t="s">
        <v>89</v>
      </c>
      <c r="H128" s="23">
        <v>75636</v>
      </c>
      <c r="I128" s="23">
        <v>0</v>
      </c>
      <c r="J128">
        <v>711</v>
      </c>
      <c r="K128" t="s">
        <v>90</v>
      </c>
      <c r="L128" s="23">
        <v>950000</v>
      </c>
      <c r="M128">
        <v>60</v>
      </c>
      <c r="N128">
        <v>9.9</v>
      </c>
      <c r="O128">
        <v>0</v>
      </c>
      <c r="P128">
        <v>3</v>
      </c>
      <c r="Q128" t="s">
        <v>85</v>
      </c>
    </row>
    <row r="129" customHeight="1" spans="1:17">
      <c r="A129" t="s">
        <v>358</v>
      </c>
      <c r="B129" t="s">
        <v>359</v>
      </c>
      <c r="C129" t="s">
        <v>81</v>
      </c>
      <c r="D129">
        <v>28</v>
      </c>
      <c r="E129" t="s">
        <v>149</v>
      </c>
      <c r="F129">
        <v>1</v>
      </c>
      <c r="G129" t="s">
        <v>83</v>
      </c>
      <c r="H129" s="23">
        <v>113746</v>
      </c>
      <c r="I129" s="23">
        <v>0</v>
      </c>
      <c r="J129">
        <v>674</v>
      </c>
      <c r="K129" t="s">
        <v>131</v>
      </c>
      <c r="L129" s="23">
        <v>470000</v>
      </c>
      <c r="M129">
        <v>36</v>
      </c>
      <c r="N129">
        <v>13.28</v>
      </c>
      <c r="O129">
        <v>2</v>
      </c>
      <c r="P129">
        <v>0</v>
      </c>
      <c r="Q129" t="s">
        <v>85</v>
      </c>
    </row>
    <row r="130" customHeight="1" spans="1:17">
      <c r="A130" t="s">
        <v>360</v>
      </c>
      <c r="B130" t="s">
        <v>361</v>
      </c>
      <c r="C130" t="s">
        <v>109</v>
      </c>
      <c r="D130">
        <v>25</v>
      </c>
      <c r="E130" t="s">
        <v>122</v>
      </c>
      <c r="F130">
        <v>2</v>
      </c>
      <c r="G130" t="s">
        <v>89</v>
      </c>
      <c r="H130" s="23">
        <v>50328</v>
      </c>
      <c r="I130" s="23">
        <v>0</v>
      </c>
      <c r="J130">
        <v>656</v>
      </c>
      <c r="K130" t="s">
        <v>95</v>
      </c>
      <c r="L130" s="23">
        <v>1750000</v>
      </c>
      <c r="M130">
        <v>60</v>
      </c>
      <c r="N130">
        <v>15.16</v>
      </c>
      <c r="O130">
        <v>4</v>
      </c>
      <c r="P130">
        <v>4</v>
      </c>
      <c r="Q130" t="s">
        <v>85</v>
      </c>
    </row>
    <row r="131" customHeight="1" spans="1:17">
      <c r="A131" t="s">
        <v>362</v>
      </c>
      <c r="B131" t="s">
        <v>361</v>
      </c>
      <c r="C131" t="s">
        <v>109</v>
      </c>
      <c r="D131">
        <v>39</v>
      </c>
      <c r="E131" t="s">
        <v>115</v>
      </c>
      <c r="F131">
        <v>2</v>
      </c>
      <c r="G131" t="s">
        <v>89</v>
      </c>
      <c r="H131" s="23">
        <v>39943</v>
      </c>
      <c r="I131" s="23">
        <v>655</v>
      </c>
      <c r="J131">
        <v>667</v>
      </c>
      <c r="K131" t="s">
        <v>95</v>
      </c>
      <c r="L131" s="23">
        <v>1530000</v>
      </c>
      <c r="M131">
        <v>60</v>
      </c>
      <c r="N131">
        <v>14.53</v>
      </c>
      <c r="O131">
        <v>1</v>
      </c>
      <c r="P131">
        <v>4</v>
      </c>
      <c r="Q131" t="s">
        <v>85</v>
      </c>
    </row>
    <row r="132" customHeight="1" spans="1:17">
      <c r="A132" t="s">
        <v>363</v>
      </c>
      <c r="B132" t="s">
        <v>364</v>
      </c>
      <c r="C132" t="s">
        <v>109</v>
      </c>
      <c r="D132">
        <v>21</v>
      </c>
      <c r="E132" t="s">
        <v>115</v>
      </c>
      <c r="F132">
        <v>2</v>
      </c>
      <c r="G132" t="s">
        <v>89</v>
      </c>
      <c r="H132" s="23">
        <v>96606</v>
      </c>
      <c r="I132" s="23">
        <v>0</v>
      </c>
      <c r="J132">
        <v>746</v>
      </c>
      <c r="K132" t="s">
        <v>95</v>
      </c>
      <c r="L132" s="23">
        <v>1850000</v>
      </c>
      <c r="M132">
        <v>60</v>
      </c>
      <c r="N132">
        <v>13.75</v>
      </c>
      <c r="O132">
        <v>4</v>
      </c>
      <c r="P132">
        <v>3</v>
      </c>
      <c r="Q132" t="s">
        <v>85</v>
      </c>
    </row>
    <row r="133" customHeight="1" spans="1:17">
      <c r="A133" t="s">
        <v>365</v>
      </c>
      <c r="B133" t="s">
        <v>366</v>
      </c>
      <c r="C133" t="s">
        <v>81</v>
      </c>
      <c r="D133">
        <v>55</v>
      </c>
      <c r="E133" t="s">
        <v>115</v>
      </c>
      <c r="F133">
        <v>2</v>
      </c>
      <c r="G133" t="s">
        <v>103</v>
      </c>
      <c r="H133" s="23">
        <v>40642</v>
      </c>
      <c r="I133" s="23">
        <v>0</v>
      </c>
      <c r="J133">
        <v>688</v>
      </c>
      <c r="K133" t="s">
        <v>84</v>
      </c>
      <c r="L133" s="23">
        <v>820000</v>
      </c>
      <c r="M133">
        <v>84</v>
      </c>
      <c r="N133">
        <v>10.3</v>
      </c>
      <c r="O133">
        <v>1</v>
      </c>
      <c r="P133">
        <v>3</v>
      </c>
      <c r="Q133" t="s">
        <v>85</v>
      </c>
    </row>
    <row r="134" customHeight="1" spans="1:17">
      <c r="A134" t="s">
        <v>367</v>
      </c>
      <c r="B134" t="s">
        <v>368</v>
      </c>
      <c r="C134" t="s">
        <v>109</v>
      </c>
      <c r="D134">
        <v>50</v>
      </c>
      <c r="E134" t="s">
        <v>88</v>
      </c>
      <c r="F134">
        <v>3</v>
      </c>
      <c r="G134" t="s">
        <v>83</v>
      </c>
      <c r="H134" s="23">
        <v>61436</v>
      </c>
      <c r="I134" s="23">
        <v>0</v>
      </c>
      <c r="J134">
        <v>686</v>
      </c>
      <c r="K134" t="s">
        <v>95</v>
      </c>
      <c r="L134" s="23">
        <v>1720000</v>
      </c>
      <c r="M134">
        <v>60</v>
      </c>
      <c r="N134">
        <v>13.7</v>
      </c>
      <c r="O134">
        <v>3</v>
      </c>
      <c r="P134">
        <v>3</v>
      </c>
      <c r="Q134" t="s">
        <v>85</v>
      </c>
    </row>
    <row r="135" customHeight="1" spans="1:17">
      <c r="A135" t="s">
        <v>369</v>
      </c>
      <c r="B135" t="s">
        <v>370</v>
      </c>
      <c r="C135" t="s">
        <v>81</v>
      </c>
      <c r="D135">
        <v>55</v>
      </c>
      <c r="E135" t="s">
        <v>172</v>
      </c>
      <c r="F135">
        <v>2</v>
      </c>
      <c r="G135" t="s">
        <v>83</v>
      </c>
      <c r="H135" s="23">
        <v>74289</v>
      </c>
      <c r="I135" s="23">
        <v>22482</v>
      </c>
      <c r="J135">
        <v>696</v>
      </c>
      <c r="K135" t="s">
        <v>95</v>
      </c>
      <c r="L135" s="23">
        <v>1040000</v>
      </c>
      <c r="M135">
        <v>60</v>
      </c>
      <c r="N135">
        <v>14.73</v>
      </c>
      <c r="O135">
        <v>6</v>
      </c>
      <c r="P135">
        <v>3</v>
      </c>
      <c r="Q135" t="s">
        <v>85</v>
      </c>
    </row>
    <row r="136" customHeight="1" spans="1:17">
      <c r="A136" t="s">
        <v>371</v>
      </c>
      <c r="B136" t="s">
        <v>372</v>
      </c>
      <c r="C136" t="s">
        <v>109</v>
      </c>
      <c r="D136">
        <v>42</v>
      </c>
      <c r="E136" t="s">
        <v>162</v>
      </c>
      <c r="F136">
        <v>1</v>
      </c>
      <c r="G136" t="s">
        <v>89</v>
      </c>
      <c r="H136" s="23">
        <v>94725</v>
      </c>
      <c r="I136" s="23">
        <v>38061</v>
      </c>
      <c r="J136">
        <v>739</v>
      </c>
      <c r="K136" t="s">
        <v>95</v>
      </c>
      <c r="L136" s="23">
        <v>1350000</v>
      </c>
      <c r="M136">
        <v>60</v>
      </c>
      <c r="N136">
        <v>14.31</v>
      </c>
      <c r="O136">
        <v>2</v>
      </c>
      <c r="P136">
        <v>0</v>
      </c>
      <c r="Q136" t="s">
        <v>85</v>
      </c>
    </row>
    <row r="137" customHeight="1" spans="1:17">
      <c r="A137" t="s">
        <v>373</v>
      </c>
      <c r="B137" t="s">
        <v>374</v>
      </c>
      <c r="C137" t="s">
        <v>109</v>
      </c>
      <c r="D137">
        <v>30</v>
      </c>
      <c r="E137" t="s">
        <v>152</v>
      </c>
      <c r="F137">
        <v>1</v>
      </c>
      <c r="G137" t="s">
        <v>83</v>
      </c>
      <c r="H137" s="23">
        <v>91822</v>
      </c>
      <c r="I137" s="23">
        <v>0</v>
      </c>
      <c r="J137">
        <v>783</v>
      </c>
      <c r="K137" t="s">
        <v>119</v>
      </c>
      <c r="L137" s="23">
        <v>480000</v>
      </c>
      <c r="M137">
        <v>48</v>
      </c>
      <c r="N137">
        <v>12.14</v>
      </c>
      <c r="O137">
        <v>2</v>
      </c>
      <c r="P137">
        <v>0</v>
      </c>
      <c r="Q137" t="s">
        <v>85</v>
      </c>
    </row>
    <row r="138" customHeight="1" spans="1:17">
      <c r="A138" t="s">
        <v>375</v>
      </c>
      <c r="B138" t="s">
        <v>376</v>
      </c>
      <c r="C138" t="s">
        <v>109</v>
      </c>
      <c r="D138">
        <v>24</v>
      </c>
      <c r="E138" t="s">
        <v>138</v>
      </c>
      <c r="F138">
        <v>1</v>
      </c>
      <c r="G138" t="s">
        <v>89</v>
      </c>
      <c r="H138" s="23">
        <v>57608</v>
      </c>
      <c r="I138" s="23">
        <v>0</v>
      </c>
      <c r="J138">
        <v>724</v>
      </c>
      <c r="K138" t="s">
        <v>131</v>
      </c>
      <c r="L138" s="23">
        <v>440000</v>
      </c>
      <c r="M138">
        <v>36</v>
      </c>
      <c r="N138">
        <v>14.34</v>
      </c>
      <c r="O138">
        <v>2</v>
      </c>
      <c r="P138">
        <v>0</v>
      </c>
      <c r="Q138" t="s">
        <v>85</v>
      </c>
    </row>
    <row r="139" customHeight="1" spans="1:17">
      <c r="A139" t="s">
        <v>377</v>
      </c>
      <c r="B139" t="s">
        <v>378</v>
      </c>
      <c r="C139" t="s">
        <v>81</v>
      </c>
      <c r="D139">
        <v>21</v>
      </c>
      <c r="E139" t="s">
        <v>179</v>
      </c>
      <c r="F139">
        <v>2</v>
      </c>
      <c r="G139" t="s">
        <v>103</v>
      </c>
      <c r="H139" s="23">
        <v>35847</v>
      </c>
      <c r="I139" s="23">
        <v>13384</v>
      </c>
      <c r="J139">
        <v>813</v>
      </c>
      <c r="K139" t="s">
        <v>125</v>
      </c>
      <c r="L139" s="23">
        <v>1470000</v>
      </c>
      <c r="M139">
        <v>240</v>
      </c>
      <c r="N139">
        <v>9.34</v>
      </c>
      <c r="O139">
        <v>3</v>
      </c>
      <c r="P139">
        <v>4</v>
      </c>
      <c r="Q139" t="s">
        <v>85</v>
      </c>
    </row>
    <row r="140" customHeight="1" spans="1:17">
      <c r="A140" t="s">
        <v>379</v>
      </c>
      <c r="B140" t="s">
        <v>380</v>
      </c>
      <c r="C140" t="s">
        <v>109</v>
      </c>
      <c r="D140">
        <v>45</v>
      </c>
      <c r="E140" t="s">
        <v>149</v>
      </c>
      <c r="F140">
        <v>1</v>
      </c>
      <c r="G140" t="s">
        <v>116</v>
      </c>
      <c r="H140" s="23">
        <v>77444</v>
      </c>
      <c r="I140" s="23">
        <v>0</v>
      </c>
      <c r="J140">
        <v>750</v>
      </c>
      <c r="K140" t="s">
        <v>95</v>
      </c>
      <c r="L140" s="23">
        <v>840000</v>
      </c>
      <c r="M140">
        <v>60</v>
      </c>
      <c r="N140">
        <v>15.15</v>
      </c>
      <c r="O140">
        <v>2</v>
      </c>
      <c r="P140">
        <v>4</v>
      </c>
      <c r="Q140" t="s">
        <v>85</v>
      </c>
    </row>
    <row r="141" customHeight="1" spans="1:17">
      <c r="A141" t="s">
        <v>381</v>
      </c>
      <c r="B141" t="s">
        <v>382</v>
      </c>
      <c r="C141" t="s">
        <v>81</v>
      </c>
      <c r="D141">
        <v>31</v>
      </c>
      <c r="E141" t="s">
        <v>237</v>
      </c>
      <c r="F141">
        <v>1</v>
      </c>
      <c r="G141" t="s">
        <v>89</v>
      </c>
      <c r="H141" s="23">
        <v>25861</v>
      </c>
      <c r="I141" s="23">
        <v>0</v>
      </c>
      <c r="J141">
        <v>712</v>
      </c>
      <c r="K141" t="s">
        <v>84</v>
      </c>
      <c r="L141" s="23">
        <v>1340000</v>
      </c>
      <c r="M141">
        <v>84</v>
      </c>
      <c r="N141">
        <v>10.66</v>
      </c>
      <c r="O141">
        <v>1</v>
      </c>
      <c r="P141">
        <v>0</v>
      </c>
      <c r="Q141" t="s">
        <v>85</v>
      </c>
    </row>
    <row r="142" customHeight="1" spans="1:17">
      <c r="A142" t="s">
        <v>383</v>
      </c>
      <c r="B142" t="s">
        <v>384</v>
      </c>
      <c r="C142" t="s">
        <v>109</v>
      </c>
      <c r="D142">
        <v>41</v>
      </c>
      <c r="E142" t="s">
        <v>179</v>
      </c>
      <c r="F142">
        <v>2</v>
      </c>
      <c r="G142" t="s">
        <v>83</v>
      </c>
      <c r="H142" s="23">
        <v>46466</v>
      </c>
      <c r="I142" s="23">
        <v>1045</v>
      </c>
      <c r="J142">
        <v>653</v>
      </c>
      <c r="K142" t="s">
        <v>125</v>
      </c>
      <c r="L142" s="23">
        <v>3340000</v>
      </c>
      <c r="M142">
        <v>240</v>
      </c>
      <c r="N142">
        <v>9.57</v>
      </c>
      <c r="O142">
        <v>5</v>
      </c>
      <c r="P142">
        <v>1</v>
      </c>
      <c r="Q142" t="s">
        <v>91</v>
      </c>
    </row>
    <row r="143" customHeight="1" spans="1:17">
      <c r="A143" t="s">
        <v>385</v>
      </c>
      <c r="B143" t="s">
        <v>386</v>
      </c>
      <c r="C143" t="s">
        <v>81</v>
      </c>
      <c r="D143">
        <v>30</v>
      </c>
      <c r="E143" t="s">
        <v>115</v>
      </c>
      <c r="F143">
        <v>2</v>
      </c>
      <c r="G143" t="s">
        <v>83</v>
      </c>
      <c r="H143" s="23">
        <v>104822</v>
      </c>
      <c r="I143" s="23">
        <v>0</v>
      </c>
      <c r="J143">
        <v>631</v>
      </c>
      <c r="K143" t="s">
        <v>131</v>
      </c>
      <c r="L143" s="23">
        <v>270000</v>
      </c>
      <c r="M143">
        <v>36</v>
      </c>
      <c r="N143">
        <v>14.39</v>
      </c>
      <c r="O143">
        <v>1</v>
      </c>
      <c r="P143">
        <v>3</v>
      </c>
      <c r="Q143" t="s">
        <v>85</v>
      </c>
    </row>
    <row r="144" customHeight="1" spans="1:17">
      <c r="A144" t="s">
        <v>387</v>
      </c>
      <c r="B144" t="s">
        <v>388</v>
      </c>
      <c r="C144" t="s">
        <v>81</v>
      </c>
      <c r="D144">
        <v>41</v>
      </c>
      <c r="E144" t="s">
        <v>237</v>
      </c>
      <c r="F144">
        <v>1</v>
      </c>
      <c r="G144" t="s">
        <v>83</v>
      </c>
      <c r="H144" s="23">
        <v>19647</v>
      </c>
      <c r="I144" s="23">
        <v>0</v>
      </c>
      <c r="J144">
        <v>637</v>
      </c>
      <c r="K144" t="s">
        <v>84</v>
      </c>
      <c r="L144" s="23">
        <v>490000</v>
      </c>
      <c r="M144">
        <v>84</v>
      </c>
      <c r="N144">
        <v>10.22</v>
      </c>
      <c r="O144">
        <v>1</v>
      </c>
      <c r="P144">
        <v>2</v>
      </c>
      <c r="Q144" t="s">
        <v>85</v>
      </c>
    </row>
    <row r="145" customHeight="1" spans="1:17">
      <c r="A145" t="s">
        <v>389</v>
      </c>
      <c r="B145" t="s">
        <v>390</v>
      </c>
      <c r="C145" t="s">
        <v>81</v>
      </c>
      <c r="D145">
        <v>28</v>
      </c>
      <c r="E145" t="s">
        <v>214</v>
      </c>
      <c r="F145">
        <v>2</v>
      </c>
      <c r="G145" t="s">
        <v>103</v>
      </c>
      <c r="H145" s="23">
        <v>46566</v>
      </c>
      <c r="I145" s="23">
        <v>16409</v>
      </c>
      <c r="J145">
        <v>753</v>
      </c>
      <c r="K145" t="s">
        <v>131</v>
      </c>
      <c r="L145" s="23">
        <v>220000</v>
      </c>
      <c r="M145">
        <v>36</v>
      </c>
      <c r="N145">
        <v>14.38</v>
      </c>
      <c r="O145">
        <v>2</v>
      </c>
      <c r="P145">
        <v>0</v>
      </c>
      <c r="Q145" t="s">
        <v>85</v>
      </c>
    </row>
    <row r="146" customHeight="1" spans="1:17">
      <c r="A146" t="s">
        <v>391</v>
      </c>
      <c r="B146" t="s">
        <v>392</v>
      </c>
      <c r="C146" t="s">
        <v>109</v>
      </c>
      <c r="D146">
        <v>23</v>
      </c>
      <c r="E146" t="s">
        <v>237</v>
      </c>
      <c r="F146">
        <v>1</v>
      </c>
      <c r="G146" t="s">
        <v>83</v>
      </c>
      <c r="H146" s="23">
        <v>54697</v>
      </c>
      <c r="I146" s="23">
        <v>0</v>
      </c>
      <c r="J146">
        <v>658</v>
      </c>
      <c r="K146" t="s">
        <v>119</v>
      </c>
      <c r="L146" s="23">
        <v>260000</v>
      </c>
      <c r="M146">
        <v>48</v>
      </c>
      <c r="N146">
        <v>11.96</v>
      </c>
      <c r="O146">
        <v>12</v>
      </c>
      <c r="P146">
        <v>4</v>
      </c>
      <c r="Q146" t="s">
        <v>85</v>
      </c>
    </row>
    <row r="147" customHeight="1" spans="1:17">
      <c r="A147" t="s">
        <v>393</v>
      </c>
      <c r="B147" t="s">
        <v>154</v>
      </c>
      <c r="C147" t="s">
        <v>109</v>
      </c>
      <c r="D147">
        <v>21</v>
      </c>
      <c r="E147" t="s">
        <v>237</v>
      </c>
      <c r="F147">
        <v>1</v>
      </c>
      <c r="G147" t="s">
        <v>83</v>
      </c>
      <c r="H147" s="23">
        <v>66094</v>
      </c>
      <c r="I147" s="23">
        <v>22811</v>
      </c>
      <c r="J147">
        <v>775</v>
      </c>
      <c r="K147" t="s">
        <v>95</v>
      </c>
      <c r="L147" s="23">
        <v>1260000</v>
      </c>
      <c r="M147">
        <v>60</v>
      </c>
      <c r="N147">
        <v>14.83</v>
      </c>
      <c r="O147">
        <v>4</v>
      </c>
      <c r="P147">
        <v>4</v>
      </c>
      <c r="Q147" t="s">
        <v>85</v>
      </c>
    </row>
    <row r="148" customHeight="1" spans="1:17">
      <c r="A148" t="s">
        <v>394</v>
      </c>
      <c r="B148" t="s">
        <v>395</v>
      </c>
      <c r="C148" t="s">
        <v>81</v>
      </c>
      <c r="D148">
        <v>29</v>
      </c>
      <c r="E148" t="s">
        <v>106</v>
      </c>
      <c r="F148">
        <v>2</v>
      </c>
      <c r="G148" t="s">
        <v>89</v>
      </c>
      <c r="H148" s="23">
        <v>25399</v>
      </c>
      <c r="I148" s="23">
        <v>7136</v>
      </c>
      <c r="J148">
        <v>788</v>
      </c>
      <c r="K148" t="s">
        <v>95</v>
      </c>
      <c r="L148" s="23">
        <v>1360000</v>
      </c>
      <c r="M148">
        <v>60</v>
      </c>
      <c r="N148">
        <v>15.02</v>
      </c>
      <c r="O148">
        <v>4</v>
      </c>
      <c r="P148">
        <v>0</v>
      </c>
      <c r="Q148" t="s">
        <v>85</v>
      </c>
    </row>
    <row r="149" customHeight="1" spans="1:17">
      <c r="A149" t="s">
        <v>396</v>
      </c>
      <c r="B149" t="s">
        <v>397</v>
      </c>
      <c r="C149" t="s">
        <v>109</v>
      </c>
      <c r="D149">
        <v>29</v>
      </c>
      <c r="E149" t="s">
        <v>169</v>
      </c>
      <c r="F149">
        <v>3</v>
      </c>
      <c r="G149" t="s">
        <v>103</v>
      </c>
      <c r="H149" s="23">
        <v>38925</v>
      </c>
      <c r="I149" s="23">
        <v>8249</v>
      </c>
      <c r="J149">
        <v>678</v>
      </c>
      <c r="K149" t="s">
        <v>90</v>
      </c>
      <c r="L149" s="23">
        <v>840000</v>
      </c>
      <c r="M149">
        <v>60</v>
      </c>
      <c r="N149">
        <v>9.9</v>
      </c>
      <c r="O149">
        <v>1</v>
      </c>
      <c r="P149">
        <v>1</v>
      </c>
      <c r="Q149" t="s">
        <v>85</v>
      </c>
    </row>
    <row r="150" customHeight="1" spans="1:17">
      <c r="A150" t="s">
        <v>398</v>
      </c>
      <c r="B150" t="s">
        <v>399</v>
      </c>
      <c r="C150" t="s">
        <v>81</v>
      </c>
      <c r="D150">
        <v>36</v>
      </c>
      <c r="E150" t="s">
        <v>138</v>
      </c>
      <c r="F150">
        <v>1</v>
      </c>
      <c r="G150" t="s">
        <v>83</v>
      </c>
      <c r="H150" s="23">
        <v>95276</v>
      </c>
      <c r="I150" s="23">
        <v>24230</v>
      </c>
      <c r="J150">
        <v>748</v>
      </c>
      <c r="K150" t="s">
        <v>131</v>
      </c>
      <c r="L150" s="23">
        <v>300000</v>
      </c>
      <c r="M150">
        <v>36</v>
      </c>
      <c r="N150">
        <v>13.96</v>
      </c>
      <c r="O150">
        <v>2</v>
      </c>
      <c r="P150">
        <v>0</v>
      </c>
      <c r="Q150" t="s">
        <v>85</v>
      </c>
    </row>
    <row r="151" customHeight="1" spans="1:17">
      <c r="A151" t="s">
        <v>400</v>
      </c>
      <c r="B151" t="s">
        <v>186</v>
      </c>
      <c r="C151" t="s">
        <v>109</v>
      </c>
      <c r="D151">
        <v>32</v>
      </c>
      <c r="E151" t="s">
        <v>179</v>
      </c>
      <c r="F151">
        <v>2</v>
      </c>
      <c r="G151" t="s">
        <v>83</v>
      </c>
      <c r="H151" s="23">
        <v>169491</v>
      </c>
      <c r="I151" s="23">
        <v>25744</v>
      </c>
      <c r="J151">
        <v>697</v>
      </c>
      <c r="K151" t="s">
        <v>90</v>
      </c>
      <c r="L151" s="23">
        <v>640000</v>
      </c>
      <c r="M151">
        <v>60</v>
      </c>
      <c r="N151">
        <v>9.65</v>
      </c>
      <c r="O151">
        <v>7</v>
      </c>
      <c r="P151">
        <v>2</v>
      </c>
      <c r="Q151" t="s">
        <v>85</v>
      </c>
    </row>
    <row r="152" customHeight="1" spans="1:17">
      <c r="A152" t="s">
        <v>401</v>
      </c>
      <c r="B152" t="s">
        <v>402</v>
      </c>
      <c r="C152" t="s">
        <v>109</v>
      </c>
      <c r="D152">
        <v>39</v>
      </c>
      <c r="E152" t="s">
        <v>157</v>
      </c>
      <c r="F152">
        <v>2</v>
      </c>
      <c r="G152" t="s">
        <v>83</v>
      </c>
      <c r="H152" s="23">
        <v>134902</v>
      </c>
      <c r="I152" s="23">
        <v>0</v>
      </c>
      <c r="J152">
        <v>753</v>
      </c>
      <c r="K152" t="s">
        <v>95</v>
      </c>
      <c r="L152" s="23">
        <v>1360000</v>
      </c>
      <c r="M152">
        <v>60</v>
      </c>
      <c r="N152">
        <v>15.15</v>
      </c>
      <c r="O152">
        <v>1</v>
      </c>
      <c r="P152">
        <v>2</v>
      </c>
      <c r="Q152" t="s">
        <v>85</v>
      </c>
    </row>
    <row r="153" customHeight="1" spans="1:17">
      <c r="A153" t="s">
        <v>403</v>
      </c>
      <c r="B153" t="s">
        <v>404</v>
      </c>
      <c r="C153" t="s">
        <v>81</v>
      </c>
      <c r="D153">
        <v>44</v>
      </c>
      <c r="E153" t="s">
        <v>162</v>
      </c>
      <c r="F153">
        <v>1</v>
      </c>
      <c r="G153" t="s">
        <v>103</v>
      </c>
      <c r="H153" s="23">
        <v>60543</v>
      </c>
      <c r="I153" s="23">
        <v>0</v>
      </c>
      <c r="J153">
        <v>779</v>
      </c>
      <c r="K153" t="s">
        <v>84</v>
      </c>
      <c r="L153" s="23">
        <v>1170000</v>
      </c>
      <c r="M153">
        <v>84</v>
      </c>
      <c r="N153">
        <v>10.49</v>
      </c>
      <c r="O153">
        <v>13</v>
      </c>
      <c r="P153">
        <v>0</v>
      </c>
      <c r="Q153" t="s">
        <v>85</v>
      </c>
    </row>
    <row r="154" customHeight="1" spans="1:17">
      <c r="A154" t="s">
        <v>405</v>
      </c>
      <c r="B154" t="s">
        <v>406</v>
      </c>
      <c r="C154" t="s">
        <v>109</v>
      </c>
      <c r="D154">
        <v>45</v>
      </c>
      <c r="E154" t="s">
        <v>138</v>
      </c>
      <c r="F154">
        <v>1</v>
      </c>
      <c r="G154" t="s">
        <v>89</v>
      </c>
      <c r="H154" s="23">
        <v>65368</v>
      </c>
      <c r="I154" s="23">
        <v>3212</v>
      </c>
      <c r="J154">
        <v>776</v>
      </c>
      <c r="K154" t="s">
        <v>119</v>
      </c>
      <c r="L154" s="23">
        <v>620000</v>
      </c>
      <c r="M154">
        <v>48</v>
      </c>
      <c r="N154">
        <v>11.23</v>
      </c>
      <c r="O154">
        <v>3</v>
      </c>
      <c r="P154">
        <v>2</v>
      </c>
      <c r="Q154" t="s">
        <v>85</v>
      </c>
    </row>
    <row r="155" customHeight="1" spans="1:17">
      <c r="A155" t="s">
        <v>407</v>
      </c>
      <c r="B155" t="s">
        <v>408</v>
      </c>
      <c r="C155" t="s">
        <v>81</v>
      </c>
      <c r="D155">
        <v>32</v>
      </c>
      <c r="E155" t="s">
        <v>169</v>
      </c>
      <c r="F155">
        <v>3</v>
      </c>
      <c r="G155" t="s">
        <v>83</v>
      </c>
      <c r="H155" s="23">
        <v>85168</v>
      </c>
      <c r="I155" s="23">
        <v>0</v>
      </c>
      <c r="J155">
        <v>713</v>
      </c>
      <c r="K155" t="s">
        <v>131</v>
      </c>
      <c r="L155" s="23">
        <v>140000</v>
      </c>
      <c r="M155">
        <v>36</v>
      </c>
      <c r="N155">
        <v>14.1</v>
      </c>
      <c r="O155">
        <v>14</v>
      </c>
      <c r="P155">
        <v>1</v>
      </c>
      <c r="Q155" t="s">
        <v>85</v>
      </c>
    </row>
    <row r="156" customHeight="1" spans="1:17">
      <c r="A156" t="s">
        <v>409</v>
      </c>
      <c r="B156" t="s">
        <v>410</v>
      </c>
      <c r="C156" t="s">
        <v>81</v>
      </c>
      <c r="D156">
        <v>36</v>
      </c>
      <c r="E156" t="s">
        <v>169</v>
      </c>
      <c r="F156">
        <v>3</v>
      </c>
      <c r="G156" t="s">
        <v>83</v>
      </c>
      <c r="H156" s="23">
        <v>171875</v>
      </c>
      <c r="I156" s="23">
        <v>67800</v>
      </c>
      <c r="J156">
        <v>682</v>
      </c>
      <c r="K156" t="s">
        <v>95</v>
      </c>
      <c r="L156" s="23">
        <v>780000</v>
      </c>
      <c r="M156">
        <v>60</v>
      </c>
      <c r="N156">
        <v>14.68</v>
      </c>
      <c r="O156">
        <v>12</v>
      </c>
      <c r="P156">
        <v>0</v>
      </c>
      <c r="Q156" t="s">
        <v>85</v>
      </c>
    </row>
    <row r="157" customHeight="1" spans="1:17">
      <c r="A157" t="s">
        <v>411</v>
      </c>
      <c r="B157" t="s">
        <v>412</v>
      </c>
      <c r="C157" t="s">
        <v>109</v>
      </c>
      <c r="D157">
        <v>31</v>
      </c>
      <c r="E157" t="s">
        <v>237</v>
      </c>
      <c r="F157">
        <v>1</v>
      </c>
      <c r="G157" t="s">
        <v>83</v>
      </c>
      <c r="H157" s="23">
        <v>56423</v>
      </c>
      <c r="I157" s="23">
        <v>0</v>
      </c>
      <c r="J157">
        <v>728</v>
      </c>
      <c r="K157" t="s">
        <v>84</v>
      </c>
      <c r="L157" s="23">
        <v>1410000</v>
      </c>
      <c r="M157">
        <v>84</v>
      </c>
      <c r="N157">
        <v>11.61</v>
      </c>
      <c r="O157">
        <v>16</v>
      </c>
      <c r="P157">
        <v>3</v>
      </c>
      <c r="Q157" t="s">
        <v>85</v>
      </c>
    </row>
    <row r="158" customHeight="1" spans="1:17">
      <c r="A158" t="s">
        <v>413</v>
      </c>
      <c r="B158" t="s">
        <v>414</v>
      </c>
      <c r="C158" t="s">
        <v>109</v>
      </c>
      <c r="D158">
        <v>53</v>
      </c>
      <c r="E158" t="s">
        <v>214</v>
      </c>
      <c r="F158">
        <v>2</v>
      </c>
      <c r="G158" t="s">
        <v>89</v>
      </c>
      <c r="H158" s="23">
        <v>136372</v>
      </c>
      <c r="I158" s="23">
        <v>51243</v>
      </c>
      <c r="J158">
        <v>694</v>
      </c>
      <c r="K158" t="s">
        <v>131</v>
      </c>
      <c r="L158" s="23">
        <v>410000</v>
      </c>
      <c r="M158">
        <v>36</v>
      </c>
      <c r="N158">
        <v>14.02</v>
      </c>
      <c r="O158">
        <v>6</v>
      </c>
      <c r="P158">
        <v>3</v>
      </c>
      <c r="Q158" t="s">
        <v>85</v>
      </c>
    </row>
    <row r="159" customHeight="1" spans="1:17">
      <c r="A159" t="s">
        <v>415</v>
      </c>
      <c r="B159" t="s">
        <v>416</v>
      </c>
      <c r="C159" t="s">
        <v>81</v>
      </c>
      <c r="D159">
        <v>42</v>
      </c>
      <c r="E159" t="s">
        <v>110</v>
      </c>
      <c r="F159">
        <v>1</v>
      </c>
      <c r="G159" t="s">
        <v>116</v>
      </c>
      <c r="H159" s="23">
        <v>60905</v>
      </c>
      <c r="I159" s="23">
        <v>0</v>
      </c>
      <c r="J159">
        <v>817</v>
      </c>
      <c r="K159" t="s">
        <v>90</v>
      </c>
      <c r="L159" s="23">
        <v>600000</v>
      </c>
      <c r="M159">
        <v>60</v>
      </c>
      <c r="N159">
        <v>10.56</v>
      </c>
      <c r="O159">
        <v>2</v>
      </c>
      <c r="P159">
        <v>0</v>
      </c>
      <c r="Q159" t="s">
        <v>85</v>
      </c>
    </row>
    <row r="160" customHeight="1" spans="1:17">
      <c r="A160" t="s">
        <v>417</v>
      </c>
      <c r="B160" t="s">
        <v>418</v>
      </c>
      <c r="C160" t="s">
        <v>81</v>
      </c>
      <c r="D160">
        <v>29</v>
      </c>
      <c r="E160" t="s">
        <v>179</v>
      </c>
      <c r="F160">
        <v>2</v>
      </c>
      <c r="G160" t="s">
        <v>89</v>
      </c>
      <c r="H160" s="23">
        <v>59422</v>
      </c>
      <c r="I160" s="23">
        <v>7356</v>
      </c>
      <c r="J160">
        <v>740</v>
      </c>
      <c r="K160" t="s">
        <v>131</v>
      </c>
      <c r="L160" s="23">
        <v>330000</v>
      </c>
      <c r="M160">
        <v>36</v>
      </c>
      <c r="N160">
        <v>13.56</v>
      </c>
      <c r="O160">
        <v>3</v>
      </c>
      <c r="P160">
        <v>2</v>
      </c>
      <c r="Q160" t="s">
        <v>85</v>
      </c>
    </row>
    <row r="161" customHeight="1" spans="1:17">
      <c r="A161" t="s">
        <v>419</v>
      </c>
      <c r="B161" t="s">
        <v>420</v>
      </c>
      <c r="C161" t="s">
        <v>81</v>
      </c>
      <c r="D161">
        <v>56</v>
      </c>
      <c r="E161" t="s">
        <v>214</v>
      </c>
      <c r="F161">
        <v>2</v>
      </c>
      <c r="G161" t="s">
        <v>116</v>
      </c>
      <c r="H161" s="23">
        <v>43347</v>
      </c>
      <c r="I161" s="23">
        <v>10419</v>
      </c>
      <c r="J161">
        <v>769</v>
      </c>
      <c r="K161" t="s">
        <v>125</v>
      </c>
      <c r="L161" s="23">
        <v>5130000</v>
      </c>
      <c r="M161">
        <v>240</v>
      </c>
      <c r="N161">
        <v>9.67</v>
      </c>
      <c r="O161">
        <v>6</v>
      </c>
      <c r="P161">
        <v>1</v>
      </c>
      <c r="Q161" t="s">
        <v>91</v>
      </c>
    </row>
    <row r="162" customHeight="1" spans="1:17">
      <c r="A162" t="s">
        <v>421</v>
      </c>
      <c r="B162" t="s">
        <v>422</v>
      </c>
      <c r="C162" t="s">
        <v>81</v>
      </c>
      <c r="D162">
        <v>29</v>
      </c>
      <c r="E162" t="s">
        <v>172</v>
      </c>
      <c r="F162">
        <v>2</v>
      </c>
      <c r="G162" t="s">
        <v>83</v>
      </c>
      <c r="H162" s="23">
        <v>56780</v>
      </c>
      <c r="I162" s="23">
        <v>0</v>
      </c>
      <c r="J162">
        <v>784</v>
      </c>
      <c r="K162" t="s">
        <v>95</v>
      </c>
      <c r="L162" s="23">
        <v>560000</v>
      </c>
      <c r="M162">
        <v>60</v>
      </c>
      <c r="N162">
        <v>13.99</v>
      </c>
      <c r="O162">
        <v>1</v>
      </c>
      <c r="P162">
        <v>1</v>
      </c>
      <c r="Q162" t="s">
        <v>85</v>
      </c>
    </row>
    <row r="163" customHeight="1" spans="1:17">
      <c r="A163" t="s">
        <v>423</v>
      </c>
      <c r="B163" t="s">
        <v>424</v>
      </c>
      <c r="C163" t="s">
        <v>81</v>
      </c>
      <c r="D163">
        <v>34</v>
      </c>
      <c r="E163" t="s">
        <v>169</v>
      </c>
      <c r="F163">
        <v>3</v>
      </c>
      <c r="G163" t="s">
        <v>103</v>
      </c>
      <c r="H163" s="23">
        <v>72712</v>
      </c>
      <c r="I163" s="23">
        <v>0</v>
      </c>
      <c r="J163">
        <v>641</v>
      </c>
      <c r="K163" t="s">
        <v>119</v>
      </c>
      <c r="L163" s="23">
        <v>360000</v>
      </c>
      <c r="M163">
        <v>48</v>
      </c>
      <c r="N163">
        <v>11.73</v>
      </c>
      <c r="O163">
        <v>7</v>
      </c>
      <c r="P163">
        <v>1</v>
      </c>
      <c r="Q163" t="s">
        <v>85</v>
      </c>
    </row>
    <row r="164" customHeight="1" spans="1:17">
      <c r="A164" t="s">
        <v>425</v>
      </c>
      <c r="B164" t="s">
        <v>426</v>
      </c>
      <c r="C164" t="s">
        <v>81</v>
      </c>
      <c r="D164">
        <v>30</v>
      </c>
      <c r="E164" t="s">
        <v>182</v>
      </c>
      <c r="F164">
        <v>1</v>
      </c>
      <c r="G164" t="s">
        <v>116</v>
      </c>
      <c r="H164" s="23">
        <v>42849</v>
      </c>
      <c r="I164" s="23">
        <v>0</v>
      </c>
      <c r="J164">
        <v>701</v>
      </c>
      <c r="K164" t="s">
        <v>84</v>
      </c>
      <c r="L164" s="23">
        <v>730000</v>
      </c>
      <c r="M164">
        <v>84</v>
      </c>
      <c r="N164">
        <v>11.67</v>
      </c>
      <c r="O164">
        <v>8</v>
      </c>
      <c r="P164">
        <v>0</v>
      </c>
      <c r="Q164" t="s">
        <v>85</v>
      </c>
    </row>
    <row r="165" customHeight="1" spans="1:17">
      <c r="A165" t="s">
        <v>427</v>
      </c>
      <c r="B165" t="s">
        <v>428</v>
      </c>
      <c r="C165" t="s">
        <v>109</v>
      </c>
      <c r="D165">
        <v>34</v>
      </c>
      <c r="E165" t="s">
        <v>214</v>
      </c>
      <c r="F165">
        <v>2</v>
      </c>
      <c r="G165" t="s">
        <v>83</v>
      </c>
      <c r="H165" s="23">
        <v>102233</v>
      </c>
      <c r="I165" s="23">
        <v>0</v>
      </c>
      <c r="J165">
        <v>785</v>
      </c>
      <c r="K165" t="s">
        <v>131</v>
      </c>
      <c r="L165" s="23">
        <v>290000</v>
      </c>
      <c r="M165">
        <v>36</v>
      </c>
      <c r="N165">
        <v>14.26</v>
      </c>
      <c r="O165">
        <v>3</v>
      </c>
      <c r="P165">
        <v>2</v>
      </c>
      <c r="Q165" t="s">
        <v>85</v>
      </c>
    </row>
    <row r="166" customHeight="1" spans="1:17">
      <c r="A166" t="s">
        <v>429</v>
      </c>
      <c r="B166" t="s">
        <v>430</v>
      </c>
      <c r="C166" t="s">
        <v>81</v>
      </c>
      <c r="D166">
        <v>49</v>
      </c>
      <c r="E166" t="s">
        <v>88</v>
      </c>
      <c r="F166">
        <v>3</v>
      </c>
      <c r="G166" t="s">
        <v>89</v>
      </c>
      <c r="H166" s="23">
        <v>123028</v>
      </c>
      <c r="I166" s="23">
        <v>0</v>
      </c>
      <c r="J166">
        <v>770</v>
      </c>
      <c r="K166" t="s">
        <v>90</v>
      </c>
      <c r="L166" s="23">
        <v>870000</v>
      </c>
      <c r="M166">
        <v>60</v>
      </c>
      <c r="N166">
        <v>9.89</v>
      </c>
      <c r="O166">
        <v>15</v>
      </c>
      <c r="P166">
        <v>3</v>
      </c>
      <c r="Q166" t="s">
        <v>85</v>
      </c>
    </row>
    <row r="167" customHeight="1" spans="1:17">
      <c r="A167" t="s">
        <v>431</v>
      </c>
      <c r="B167" t="s">
        <v>432</v>
      </c>
      <c r="C167" t="s">
        <v>81</v>
      </c>
      <c r="D167">
        <v>27</v>
      </c>
      <c r="E167" t="s">
        <v>122</v>
      </c>
      <c r="F167">
        <v>2</v>
      </c>
      <c r="G167" t="s">
        <v>83</v>
      </c>
      <c r="H167" s="23">
        <v>103112</v>
      </c>
      <c r="I167" s="23">
        <v>0</v>
      </c>
      <c r="J167">
        <v>690</v>
      </c>
      <c r="K167" t="s">
        <v>95</v>
      </c>
      <c r="L167" s="23">
        <v>880000</v>
      </c>
      <c r="M167">
        <v>60</v>
      </c>
      <c r="N167">
        <v>14</v>
      </c>
      <c r="O167">
        <v>4</v>
      </c>
      <c r="P167">
        <v>4</v>
      </c>
      <c r="Q167" t="s">
        <v>85</v>
      </c>
    </row>
    <row r="168" customHeight="1" spans="1:17">
      <c r="A168" t="s">
        <v>433</v>
      </c>
      <c r="B168" t="s">
        <v>434</v>
      </c>
      <c r="C168" t="s">
        <v>81</v>
      </c>
      <c r="D168">
        <v>35</v>
      </c>
      <c r="E168" t="s">
        <v>149</v>
      </c>
      <c r="F168">
        <v>1</v>
      </c>
      <c r="G168" t="s">
        <v>116</v>
      </c>
      <c r="H168" s="23">
        <v>60894</v>
      </c>
      <c r="I168" s="23">
        <v>18367</v>
      </c>
      <c r="J168">
        <v>735</v>
      </c>
      <c r="K168" t="s">
        <v>95</v>
      </c>
      <c r="L168" s="23">
        <v>1090000</v>
      </c>
      <c r="M168">
        <v>60</v>
      </c>
      <c r="N168">
        <v>14.38</v>
      </c>
      <c r="O168">
        <v>6</v>
      </c>
      <c r="P168">
        <v>4</v>
      </c>
      <c r="Q168" t="s">
        <v>85</v>
      </c>
    </row>
    <row r="169" customHeight="1" spans="1:17">
      <c r="A169" t="s">
        <v>435</v>
      </c>
      <c r="B169" t="s">
        <v>436</v>
      </c>
      <c r="C169" t="s">
        <v>109</v>
      </c>
      <c r="D169">
        <v>35</v>
      </c>
      <c r="E169" t="s">
        <v>128</v>
      </c>
      <c r="F169">
        <v>2</v>
      </c>
      <c r="G169" t="s">
        <v>89</v>
      </c>
      <c r="H169" s="23">
        <v>42913</v>
      </c>
      <c r="I169" s="23">
        <v>7887</v>
      </c>
      <c r="J169">
        <v>754</v>
      </c>
      <c r="K169" t="s">
        <v>119</v>
      </c>
      <c r="L169" s="23">
        <v>790000</v>
      </c>
      <c r="M169">
        <v>48</v>
      </c>
      <c r="N169">
        <v>10.84</v>
      </c>
      <c r="O169">
        <v>1</v>
      </c>
      <c r="P169">
        <v>3</v>
      </c>
      <c r="Q169" t="s">
        <v>85</v>
      </c>
    </row>
    <row r="170" customHeight="1" spans="1:17">
      <c r="A170" t="s">
        <v>437</v>
      </c>
      <c r="B170" t="s">
        <v>438</v>
      </c>
      <c r="C170" t="s">
        <v>81</v>
      </c>
      <c r="D170">
        <v>30</v>
      </c>
      <c r="E170" t="s">
        <v>149</v>
      </c>
      <c r="F170">
        <v>1</v>
      </c>
      <c r="G170" t="s">
        <v>116</v>
      </c>
      <c r="H170" s="23">
        <v>72757</v>
      </c>
      <c r="I170" s="23">
        <v>26891</v>
      </c>
      <c r="J170">
        <v>696</v>
      </c>
      <c r="K170" t="s">
        <v>95</v>
      </c>
      <c r="L170" s="23">
        <v>420000</v>
      </c>
      <c r="M170">
        <v>60</v>
      </c>
      <c r="N170">
        <v>14.36</v>
      </c>
      <c r="O170">
        <v>9</v>
      </c>
      <c r="P170">
        <v>2</v>
      </c>
      <c r="Q170" t="s">
        <v>85</v>
      </c>
    </row>
    <row r="171" customHeight="1" spans="1:17">
      <c r="A171" t="s">
        <v>439</v>
      </c>
      <c r="B171" t="s">
        <v>440</v>
      </c>
      <c r="C171" t="s">
        <v>81</v>
      </c>
      <c r="D171">
        <v>37</v>
      </c>
      <c r="E171" t="s">
        <v>122</v>
      </c>
      <c r="F171">
        <v>2</v>
      </c>
      <c r="G171" t="s">
        <v>103</v>
      </c>
      <c r="H171" s="23">
        <v>28368</v>
      </c>
      <c r="I171" s="23">
        <v>0</v>
      </c>
      <c r="J171">
        <v>680</v>
      </c>
      <c r="K171" t="s">
        <v>119</v>
      </c>
      <c r="L171" s="23">
        <v>410000</v>
      </c>
      <c r="M171">
        <v>48</v>
      </c>
      <c r="N171">
        <v>12.18</v>
      </c>
      <c r="O171">
        <v>2</v>
      </c>
      <c r="P171">
        <v>3</v>
      </c>
      <c r="Q171" t="s">
        <v>85</v>
      </c>
    </row>
    <row r="172" customHeight="1" spans="1:17">
      <c r="A172" t="s">
        <v>441</v>
      </c>
      <c r="B172" t="s">
        <v>442</v>
      </c>
      <c r="C172" t="s">
        <v>81</v>
      </c>
      <c r="D172">
        <v>27</v>
      </c>
      <c r="E172" t="s">
        <v>128</v>
      </c>
      <c r="F172">
        <v>2</v>
      </c>
      <c r="G172" t="s">
        <v>116</v>
      </c>
      <c r="H172" s="23">
        <v>186429</v>
      </c>
      <c r="I172" s="23">
        <v>21334</v>
      </c>
      <c r="J172">
        <v>709</v>
      </c>
      <c r="K172" t="s">
        <v>131</v>
      </c>
      <c r="L172" s="23">
        <v>240000</v>
      </c>
      <c r="M172">
        <v>36</v>
      </c>
      <c r="N172">
        <v>13.16</v>
      </c>
      <c r="O172">
        <v>4</v>
      </c>
      <c r="P172">
        <v>4</v>
      </c>
      <c r="Q172" t="s">
        <v>85</v>
      </c>
    </row>
    <row r="173" customHeight="1" spans="1:17">
      <c r="A173" t="s">
        <v>443</v>
      </c>
      <c r="B173" t="s">
        <v>444</v>
      </c>
      <c r="C173" t="s">
        <v>109</v>
      </c>
      <c r="D173">
        <v>30</v>
      </c>
      <c r="E173" t="s">
        <v>172</v>
      </c>
      <c r="F173">
        <v>2</v>
      </c>
      <c r="G173" t="s">
        <v>83</v>
      </c>
      <c r="H173" s="23">
        <v>32288</v>
      </c>
      <c r="I173" s="23">
        <v>0</v>
      </c>
      <c r="J173">
        <v>749</v>
      </c>
      <c r="K173" t="s">
        <v>131</v>
      </c>
      <c r="L173" s="23">
        <v>210000</v>
      </c>
      <c r="M173">
        <v>36</v>
      </c>
      <c r="N173">
        <v>14.01</v>
      </c>
      <c r="O173">
        <v>0</v>
      </c>
      <c r="P173">
        <v>2</v>
      </c>
      <c r="Q173" t="s">
        <v>85</v>
      </c>
    </row>
    <row r="174" customHeight="1" spans="1:17">
      <c r="A174" t="s">
        <v>445</v>
      </c>
      <c r="B174" t="s">
        <v>446</v>
      </c>
      <c r="C174" t="s">
        <v>109</v>
      </c>
      <c r="D174">
        <v>43</v>
      </c>
      <c r="E174" t="s">
        <v>214</v>
      </c>
      <c r="F174">
        <v>2</v>
      </c>
      <c r="G174" t="s">
        <v>83</v>
      </c>
      <c r="H174" s="23">
        <v>62689</v>
      </c>
      <c r="I174" s="23">
        <v>17727</v>
      </c>
      <c r="J174">
        <v>759</v>
      </c>
      <c r="K174" t="s">
        <v>131</v>
      </c>
      <c r="L174" s="23">
        <v>320000</v>
      </c>
      <c r="M174">
        <v>36</v>
      </c>
      <c r="N174">
        <v>14.35</v>
      </c>
      <c r="O174">
        <v>5</v>
      </c>
      <c r="P174">
        <v>0</v>
      </c>
      <c r="Q174" t="s">
        <v>85</v>
      </c>
    </row>
    <row r="175" customHeight="1" spans="1:17">
      <c r="A175" t="s">
        <v>447</v>
      </c>
      <c r="B175" t="s">
        <v>448</v>
      </c>
      <c r="C175" t="s">
        <v>109</v>
      </c>
      <c r="D175">
        <v>35</v>
      </c>
      <c r="E175" t="s">
        <v>106</v>
      </c>
      <c r="F175">
        <v>2</v>
      </c>
      <c r="G175" t="s">
        <v>103</v>
      </c>
      <c r="H175" s="23">
        <v>64936</v>
      </c>
      <c r="I175" s="23">
        <v>0</v>
      </c>
      <c r="J175">
        <v>725</v>
      </c>
      <c r="K175" t="s">
        <v>84</v>
      </c>
      <c r="L175" s="23">
        <v>310000</v>
      </c>
      <c r="M175">
        <v>84</v>
      </c>
      <c r="N175">
        <v>11.67</v>
      </c>
      <c r="O175">
        <v>1</v>
      </c>
      <c r="P175">
        <v>0</v>
      </c>
      <c r="Q175" t="s">
        <v>85</v>
      </c>
    </row>
    <row r="176" customHeight="1" spans="1:17">
      <c r="A176" t="s">
        <v>449</v>
      </c>
      <c r="B176" t="s">
        <v>450</v>
      </c>
      <c r="C176" t="s">
        <v>109</v>
      </c>
      <c r="D176">
        <v>21</v>
      </c>
      <c r="E176" t="s">
        <v>138</v>
      </c>
      <c r="F176">
        <v>1</v>
      </c>
      <c r="G176" t="s">
        <v>103</v>
      </c>
      <c r="H176" s="23">
        <v>100154</v>
      </c>
      <c r="I176" s="23">
        <v>0</v>
      </c>
      <c r="J176">
        <v>718</v>
      </c>
      <c r="K176" t="s">
        <v>119</v>
      </c>
      <c r="L176" s="23">
        <v>720000</v>
      </c>
      <c r="M176">
        <v>48</v>
      </c>
      <c r="N176">
        <v>10.72</v>
      </c>
      <c r="O176">
        <v>1</v>
      </c>
      <c r="P176">
        <v>0</v>
      </c>
      <c r="Q176" t="s">
        <v>85</v>
      </c>
    </row>
    <row r="177" customHeight="1" spans="1:17">
      <c r="A177" t="s">
        <v>451</v>
      </c>
      <c r="B177" t="s">
        <v>452</v>
      </c>
      <c r="C177" t="s">
        <v>81</v>
      </c>
      <c r="D177">
        <v>55</v>
      </c>
      <c r="E177" t="s">
        <v>157</v>
      </c>
      <c r="F177">
        <v>2</v>
      </c>
      <c r="G177" t="s">
        <v>103</v>
      </c>
      <c r="H177" s="23">
        <v>86188</v>
      </c>
      <c r="I177" s="23">
        <v>34055</v>
      </c>
      <c r="J177">
        <v>771</v>
      </c>
      <c r="K177" t="s">
        <v>119</v>
      </c>
      <c r="L177" s="23">
        <v>800000</v>
      </c>
      <c r="M177">
        <v>48</v>
      </c>
      <c r="N177">
        <v>11.02</v>
      </c>
      <c r="O177">
        <v>0</v>
      </c>
      <c r="P177">
        <v>1</v>
      </c>
      <c r="Q177" t="s">
        <v>85</v>
      </c>
    </row>
    <row r="178" customHeight="1" spans="1:17">
      <c r="A178" t="s">
        <v>453</v>
      </c>
      <c r="B178" t="s">
        <v>454</v>
      </c>
      <c r="C178" t="s">
        <v>81</v>
      </c>
      <c r="D178">
        <v>35</v>
      </c>
      <c r="E178" t="s">
        <v>82</v>
      </c>
      <c r="F178">
        <v>2</v>
      </c>
      <c r="G178" t="s">
        <v>89</v>
      </c>
      <c r="H178" s="23">
        <v>79827</v>
      </c>
      <c r="I178" s="23">
        <v>21778</v>
      </c>
      <c r="J178">
        <v>698</v>
      </c>
      <c r="K178" t="s">
        <v>131</v>
      </c>
      <c r="L178" s="23">
        <v>460000</v>
      </c>
      <c r="M178">
        <v>36</v>
      </c>
      <c r="N178">
        <v>13.48</v>
      </c>
      <c r="O178">
        <v>0</v>
      </c>
      <c r="P178">
        <v>0</v>
      </c>
      <c r="Q178" t="s">
        <v>85</v>
      </c>
    </row>
    <row r="179" customHeight="1" spans="1:17">
      <c r="A179" t="s">
        <v>455</v>
      </c>
      <c r="B179" t="s">
        <v>456</v>
      </c>
      <c r="C179" t="s">
        <v>109</v>
      </c>
      <c r="D179">
        <v>30</v>
      </c>
      <c r="E179" t="s">
        <v>162</v>
      </c>
      <c r="F179">
        <v>1</v>
      </c>
      <c r="G179" t="s">
        <v>116</v>
      </c>
      <c r="H179" s="23">
        <v>44550</v>
      </c>
      <c r="I179" s="23">
        <v>0</v>
      </c>
      <c r="J179">
        <v>782</v>
      </c>
      <c r="K179" t="s">
        <v>95</v>
      </c>
      <c r="L179" s="23">
        <v>400000</v>
      </c>
      <c r="M179">
        <v>60</v>
      </c>
      <c r="N179">
        <v>14.52</v>
      </c>
      <c r="O179">
        <v>1</v>
      </c>
      <c r="P179">
        <v>4</v>
      </c>
      <c r="Q179" t="s">
        <v>85</v>
      </c>
    </row>
    <row r="180" customHeight="1" spans="1:17">
      <c r="A180" t="s">
        <v>457</v>
      </c>
      <c r="B180" t="s">
        <v>384</v>
      </c>
      <c r="C180" t="s">
        <v>109</v>
      </c>
      <c r="D180">
        <v>26</v>
      </c>
      <c r="E180" t="s">
        <v>110</v>
      </c>
      <c r="F180">
        <v>1</v>
      </c>
      <c r="G180" t="s">
        <v>83</v>
      </c>
      <c r="H180" s="23">
        <v>55089</v>
      </c>
      <c r="I180" s="23">
        <v>0</v>
      </c>
      <c r="J180">
        <v>702</v>
      </c>
      <c r="K180" t="s">
        <v>84</v>
      </c>
      <c r="L180" s="23">
        <v>440000</v>
      </c>
      <c r="M180">
        <v>84</v>
      </c>
      <c r="N180">
        <v>10.79</v>
      </c>
      <c r="O180">
        <v>0</v>
      </c>
      <c r="P180">
        <v>1</v>
      </c>
      <c r="Q180" t="s">
        <v>85</v>
      </c>
    </row>
    <row r="181" customHeight="1" spans="1:17">
      <c r="A181" t="s">
        <v>458</v>
      </c>
      <c r="B181" t="s">
        <v>234</v>
      </c>
      <c r="C181" t="s">
        <v>109</v>
      </c>
      <c r="D181">
        <v>29</v>
      </c>
      <c r="E181" t="s">
        <v>172</v>
      </c>
      <c r="F181">
        <v>2</v>
      </c>
      <c r="G181" t="s">
        <v>116</v>
      </c>
      <c r="H181" s="23">
        <v>50109</v>
      </c>
      <c r="I181" s="23">
        <v>15440</v>
      </c>
      <c r="J181">
        <v>659</v>
      </c>
      <c r="K181" t="s">
        <v>84</v>
      </c>
      <c r="L181" s="23">
        <v>1120000</v>
      </c>
      <c r="M181">
        <v>84</v>
      </c>
      <c r="N181">
        <v>10.97</v>
      </c>
      <c r="O181">
        <v>1</v>
      </c>
      <c r="P181">
        <v>1</v>
      </c>
      <c r="Q181" t="s">
        <v>85</v>
      </c>
    </row>
    <row r="182" customHeight="1" spans="1:17">
      <c r="A182" t="s">
        <v>459</v>
      </c>
      <c r="B182" t="s">
        <v>460</v>
      </c>
      <c r="C182" t="s">
        <v>109</v>
      </c>
      <c r="D182">
        <v>49</v>
      </c>
      <c r="E182" t="s">
        <v>152</v>
      </c>
      <c r="F182">
        <v>1</v>
      </c>
      <c r="G182" t="s">
        <v>89</v>
      </c>
      <c r="H182" s="23">
        <v>50706</v>
      </c>
      <c r="I182" s="23">
        <v>0</v>
      </c>
      <c r="J182">
        <v>782</v>
      </c>
      <c r="K182" t="s">
        <v>95</v>
      </c>
      <c r="L182" s="23">
        <v>1310000</v>
      </c>
      <c r="M182">
        <v>60</v>
      </c>
      <c r="N182">
        <v>14.47</v>
      </c>
      <c r="O182">
        <v>2</v>
      </c>
      <c r="P182">
        <v>1</v>
      </c>
      <c r="Q182" t="s">
        <v>85</v>
      </c>
    </row>
    <row r="183" customHeight="1" spans="1:17">
      <c r="A183" t="s">
        <v>461</v>
      </c>
      <c r="B183" t="s">
        <v>462</v>
      </c>
      <c r="C183" t="s">
        <v>81</v>
      </c>
      <c r="D183">
        <v>33</v>
      </c>
      <c r="E183" t="s">
        <v>182</v>
      </c>
      <c r="F183">
        <v>1</v>
      </c>
      <c r="G183" t="s">
        <v>89</v>
      </c>
      <c r="H183" s="23">
        <v>34524</v>
      </c>
      <c r="I183" s="23">
        <v>7450</v>
      </c>
      <c r="J183">
        <v>751</v>
      </c>
      <c r="K183" t="s">
        <v>90</v>
      </c>
      <c r="L183" s="23">
        <v>1040000</v>
      </c>
      <c r="M183">
        <v>60</v>
      </c>
      <c r="N183">
        <v>9.63</v>
      </c>
      <c r="O183">
        <v>1</v>
      </c>
      <c r="P183">
        <v>1</v>
      </c>
      <c r="Q183" t="s">
        <v>85</v>
      </c>
    </row>
    <row r="184" customHeight="1" spans="1:17">
      <c r="A184" t="s">
        <v>463</v>
      </c>
      <c r="B184" t="s">
        <v>464</v>
      </c>
      <c r="C184" t="s">
        <v>81</v>
      </c>
      <c r="D184">
        <v>34</v>
      </c>
      <c r="E184" t="s">
        <v>169</v>
      </c>
      <c r="F184">
        <v>3</v>
      </c>
      <c r="G184" t="s">
        <v>116</v>
      </c>
      <c r="H184" s="23">
        <v>43947</v>
      </c>
      <c r="I184" s="23">
        <v>10137</v>
      </c>
      <c r="J184">
        <v>757</v>
      </c>
      <c r="K184" t="s">
        <v>90</v>
      </c>
      <c r="L184" s="23">
        <v>400000</v>
      </c>
      <c r="M184">
        <v>60</v>
      </c>
      <c r="N184">
        <v>9.81</v>
      </c>
      <c r="O184">
        <v>1</v>
      </c>
      <c r="P184">
        <v>1</v>
      </c>
      <c r="Q184" t="s">
        <v>85</v>
      </c>
    </row>
    <row r="185" customHeight="1" spans="1:17">
      <c r="A185" t="s">
        <v>465</v>
      </c>
      <c r="B185" t="s">
        <v>466</v>
      </c>
      <c r="C185" t="s">
        <v>109</v>
      </c>
      <c r="D185">
        <v>35</v>
      </c>
      <c r="E185" t="s">
        <v>138</v>
      </c>
      <c r="F185">
        <v>1</v>
      </c>
      <c r="G185" t="s">
        <v>89</v>
      </c>
      <c r="H185" s="23">
        <v>136821</v>
      </c>
      <c r="I185" s="23">
        <v>0</v>
      </c>
      <c r="J185">
        <v>773</v>
      </c>
      <c r="K185" t="s">
        <v>90</v>
      </c>
      <c r="L185" s="23">
        <v>460000</v>
      </c>
      <c r="M185">
        <v>60</v>
      </c>
      <c r="N185">
        <v>10.4</v>
      </c>
      <c r="O185">
        <v>6</v>
      </c>
      <c r="P185">
        <v>3</v>
      </c>
      <c r="Q185" t="s">
        <v>85</v>
      </c>
    </row>
    <row r="186" customHeight="1" spans="1:17">
      <c r="A186" t="s">
        <v>467</v>
      </c>
      <c r="B186" t="s">
        <v>468</v>
      </c>
      <c r="C186" t="s">
        <v>81</v>
      </c>
      <c r="D186">
        <v>21</v>
      </c>
      <c r="E186" t="s">
        <v>152</v>
      </c>
      <c r="F186">
        <v>1</v>
      </c>
      <c r="G186" t="s">
        <v>103</v>
      </c>
      <c r="H186" s="23">
        <v>94093</v>
      </c>
      <c r="I186" s="23">
        <v>5592</v>
      </c>
      <c r="J186">
        <v>832</v>
      </c>
      <c r="K186" t="s">
        <v>95</v>
      </c>
      <c r="L186" s="23">
        <v>1680000</v>
      </c>
      <c r="M186">
        <v>60</v>
      </c>
      <c r="N186">
        <v>14.96</v>
      </c>
      <c r="O186">
        <v>0</v>
      </c>
      <c r="P186">
        <v>0</v>
      </c>
      <c r="Q186" t="s">
        <v>85</v>
      </c>
    </row>
    <row r="187" customHeight="1" spans="1:17">
      <c r="A187" t="s">
        <v>469</v>
      </c>
      <c r="B187" t="s">
        <v>470</v>
      </c>
      <c r="C187" t="s">
        <v>81</v>
      </c>
      <c r="D187">
        <v>44</v>
      </c>
      <c r="E187" t="s">
        <v>138</v>
      </c>
      <c r="F187">
        <v>1</v>
      </c>
      <c r="G187" t="s">
        <v>83</v>
      </c>
      <c r="H187" s="23">
        <v>62266</v>
      </c>
      <c r="I187" s="23">
        <v>0</v>
      </c>
      <c r="J187">
        <v>723</v>
      </c>
      <c r="K187" t="s">
        <v>131</v>
      </c>
      <c r="L187" s="23">
        <v>220000</v>
      </c>
      <c r="M187">
        <v>36</v>
      </c>
      <c r="N187">
        <v>13.16</v>
      </c>
      <c r="O187">
        <v>7</v>
      </c>
      <c r="P187">
        <v>4</v>
      </c>
      <c r="Q187" t="s">
        <v>85</v>
      </c>
    </row>
    <row r="188" customHeight="1" spans="1:17">
      <c r="A188" t="s">
        <v>471</v>
      </c>
      <c r="B188" t="s">
        <v>472</v>
      </c>
      <c r="C188" t="s">
        <v>109</v>
      </c>
      <c r="D188">
        <v>41</v>
      </c>
      <c r="E188" t="s">
        <v>98</v>
      </c>
      <c r="F188">
        <v>2</v>
      </c>
      <c r="G188" t="s">
        <v>83</v>
      </c>
      <c r="H188" s="23">
        <v>59221</v>
      </c>
      <c r="I188" s="23">
        <v>6598</v>
      </c>
      <c r="J188">
        <v>669</v>
      </c>
      <c r="K188" t="s">
        <v>84</v>
      </c>
      <c r="L188" s="23">
        <v>540000</v>
      </c>
      <c r="M188">
        <v>84</v>
      </c>
      <c r="N188">
        <v>11.02</v>
      </c>
      <c r="O188">
        <v>13</v>
      </c>
      <c r="P188">
        <v>1</v>
      </c>
      <c r="Q188" t="s">
        <v>85</v>
      </c>
    </row>
    <row r="189" customHeight="1" spans="1:17">
      <c r="A189" t="s">
        <v>473</v>
      </c>
      <c r="B189" t="s">
        <v>474</v>
      </c>
      <c r="C189" t="s">
        <v>81</v>
      </c>
      <c r="D189">
        <v>39</v>
      </c>
      <c r="E189" t="s">
        <v>169</v>
      </c>
      <c r="F189">
        <v>3</v>
      </c>
      <c r="G189" t="s">
        <v>83</v>
      </c>
      <c r="H189" s="23">
        <v>55251</v>
      </c>
      <c r="I189" s="23">
        <v>1387</v>
      </c>
      <c r="J189">
        <v>773</v>
      </c>
      <c r="K189" t="s">
        <v>131</v>
      </c>
      <c r="L189" s="23">
        <v>110000</v>
      </c>
      <c r="M189">
        <v>36</v>
      </c>
      <c r="N189">
        <v>13.2</v>
      </c>
      <c r="O189">
        <v>17</v>
      </c>
      <c r="P189">
        <v>2</v>
      </c>
      <c r="Q189" t="s">
        <v>85</v>
      </c>
    </row>
    <row r="190" customHeight="1" spans="1:17">
      <c r="A190" t="s">
        <v>475</v>
      </c>
      <c r="B190" t="s">
        <v>476</v>
      </c>
      <c r="C190" t="s">
        <v>109</v>
      </c>
      <c r="D190">
        <v>36</v>
      </c>
      <c r="E190" t="s">
        <v>110</v>
      </c>
      <c r="F190">
        <v>1</v>
      </c>
      <c r="G190" t="s">
        <v>83</v>
      </c>
      <c r="H190" s="23">
        <v>87840</v>
      </c>
      <c r="I190" s="23">
        <v>0</v>
      </c>
      <c r="J190">
        <v>771</v>
      </c>
      <c r="K190" t="s">
        <v>90</v>
      </c>
      <c r="L190" s="23">
        <v>980000</v>
      </c>
      <c r="M190">
        <v>60</v>
      </c>
      <c r="N190">
        <v>9.27</v>
      </c>
      <c r="O190">
        <v>8</v>
      </c>
      <c r="P190">
        <v>4</v>
      </c>
      <c r="Q190" t="s">
        <v>85</v>
      </c>
    </row>
    <row r="191" customHeight="1" spans="1:17">
      <c r="A191" t="s">
        <v>477</v>
      </c>
      <c r="B191" t="s">
        <v>478</v>
      </c>
      <c r="C191" t="s">
        <v>109</v>
      </c>
      <c r="D191">
        <v>21</v>
      </c>
      <c r="E191" t="s">
        <v>169</v>
      </c>
      <c r="F191">
        <v>3</v>
      </c>
      <c r="G191" t="s">
        <v>103</v>
      </c>
      <c r="H191" s="23">
        <v>38756</v>
      </c>
      <c r="I191" s="23">
        <v>0</v>
      </c>
      <c r="J191">
        <v>696</v>
      </c>
      <c r="K191" t="s">
        <v>119</v>
      </c>
      <c r="L191" s="23">
        <v>770000</v>
      </c>
      <c r="M191">
        <v>48</v>
      </c>
      <c r="N191">
        <v>11.39</v>
      </c>
      <c r="O191">
        <v>0</v>
      </c>
      <c r="P191">
        <v>1</v>
      </c>
      <c r="Q191" t="s">
        <v>85</v>
      </c>
    </row>
    <row r="192" customHeight="1" spans="1:17">
      <c r="A192" t="s">
        <v>479</v>
      </c>
      <c r="B192" t="s">
        <v>480</v>
      </c>
      <c r="C192" t="s">
        <v>109</v>
      </c>
      <c r="D192">
        <v>40</v>
      </c>
      <c r="E192" t="s">
        <v>172</v>
      </c>
      <c r="F192">
        <v>2</v>
      </c>
      <c r="G192" t="s">
        <v>83</v>
      </c>
      <c r="H192" s="23">
        <v>45291</v>
      </c>
      <c r="I192" s="23">
        <v>0</v>
      </c>
      <c r="J192">
        <v>726</v>
      </c>
      <c r="K192" t="s">
        <v>84</v>
      </c>
      <c r="L192" s="23">
        <v>1360000</v>
      </c>
      <c r="M192">
        <v>84</v>
      </c>
      <c r="N192">
        <v>10.11</v>
      </c>
      <c r="O192">
        <v>2</v>
      </c>
      <c r="P192">
        <v>0</v>
      </c>
      <c r="Q192" t="s">
        <v>85</v>
      </c>
    </row>
    <row r="193" customHeight="1" spans="1:17">
      <c r="A193" t="s">
        <v>481</v>
      </c>
      <c r="B193" t="s">
        <v>482</v>
      </c>
      <c r="C193" t="s">
        <v>109</v>
      </c>
      <c r="D193">
        <v>32</v>
      </c>
      <c r="E193" t="s">
        <v>115</v>
      </c>
      <c r="F193">
        <v>2</v>
      </c>
      <c r="G193" t="s">
        <v>116</v>
      </c>
      <c r="H193" s="23">
        <v>37094</v>
      </c>
      <c r="I193" s="23">
        <v>10800</v>
      </c>
      <c r="J193">
        <v>736</v>
      </c>
      <c r="K193" t="s">
        <v>119</v>
      </c>
      <c r="L193" s="23">
        <v>170000</v>
      </c>
      <c r="M193">
        <v>48</v>
      </c>
      <c r="N193">
        <v>11.2</v>
      </c>
      <c r="O193">
        <v>3</v>
      </c>
      <c r="P193">
        <v>0</v>
      </c>
      <c r="Q193" t="s">
        <v>85</v>
      </c>
    </row>
    <row r="194" customHeight="1" spans="1:17">
      <c r="A194" t="s">
        <v>483</v>
      </c>
      <c r="B194" t="s">
        <v>484</v>
      </c>
      <c r="C194" t="s">
        <v>81</v>
      </c>
      <c r="D194">
        <v>46</v>
      </c>
      <c r="E194" t="s">
        <v>106</v>
      </c>
      <c r="F194">
        <v>2</v>
      </c>
      <c r="G194" t="s">
        <v>83</v>
      </c>
      <c r="H194" s="23">
        <v>124350</v>
      </c>
      <c r="I194" s="23">
        <v>19885</v>
      </c>
      <c r="J194">
        <v>688</v>
      </c>
      <c r="K194" t="s">
        <v>95</v>
      </c>
      <c r="L194" s="23">
        <v>1060000</v>
      </c>
      <c r="M194">
        <v>60</v>
      </c>
      <c r="N194">
        <v>14.29</v>
      </c>
      <c r="O194">
        <v>0</v>
      </c>
      <c r="P194">
        <v>2</v>
      </c>
      <c r="Q194" t="s">
        <v>85</v>
      </c>
    </row>
    <row r="195" customHeight="1" spans="1:17">
      <c r="A195" t="s">
        <v>485</v>
      </c>
      <c r="B195" t="s">
        <v>486</v>
      </c>
      <c r="C195" t="s">
        <v>109</v>
      </c>
      <c r="D195">
        <v>26</v>
      </c>
      <c r="E195" t="s">
        <v>172</v>
      </c>
      <c r="F195">
        <v>2</v>
      </c>
      <c r="G195" t="s">
        <v>83</v>
      </c>
      <c r="H195" s="23">
        <v>39105</v>
      </c>
      <c r="I195" s="23">
        <v>9977</v>
      </c>
      <c r="J195">
        <v>653</v>
      </c>
      <c r="K195" t="s">
        <v>119</v>
      </c>
      <c r="L195" s="23">
        <v>240000</v>
      </c>
      <c r="M195">
        <v>48</v>
      </c>
      <c r="N195">
        <v>11.77</v>
      </c>
      <c r="O195">
        <v>7</v>
      </c>
      <c r="P195">
        <v>4</v>
      </c>
      <c r="Q195" t="s">
        <v>85</v>
      </c>
    </row>
    <row r="196" customHeight="1" spans="1:17">
      <c r="A196" t="s">
        <v>487</v>
      </c>
      <c r="B196" t="s">
        <v>488</v>
      </c>
      <c r="C196" t="s">
        <v>81</v>
      </c>
      <c r="D196">
        <v>23</v>
      </c>
      <c r="E196" t="s">
        <v>110</v>
      </c>
      <c r="F196">
        <v>1</v>
      </c>
      <c r="G196" t="s">
        <v>83</v>
      </c>
      <c r="H196" s="23">
        <v>50564</v>
      </c>
      <c r="I196" s="23">
        <v>21175</v>
      </c>
      <c r="J196">
        <v>791</v>
      </c>
      <c r="K196" t="s">
        <v>131</v>
      </c>
      <c r="L196" s="23">
        <v>240000</v>
      </c>
      <c r="M196">
        <v>36</v>
      </c>
      <c r="N196">
        <v>14.28</v>
      </c>
      <c r="O196">
        <v>7</v>
      </c>
      <c r="P196">
        <v>1</v>
      </c>
      <c r="Q196" t="s">
        <v>91</v>
      </c>
    </row>
    <row r="197" customHeight="1" spans="1:17">
      <c r="A197" t="s">
        <v>489</v>
      </c>
      <c r="B197" t="s">
        <v>490</v>
      </c>
      <c r="C197" t="s">
        <v>81</v>
      </c>
      <c r="D197">
        <v>43</v>
      </c>
      <c r="E197" t="s">
        <v>172</v>
      </c>
      <c r="F197">
        <v>2</v>
      </c>
      <c r="G197" t="s">
        <v>83</v>
      </c>
      <c r="H197" s="23">
        <v>95704</v>
      </c>
      <c r="I197" s="23">
        <v>0</v>
      </c>
      <c r="J197">
        <v>739</v>
      </c>
      <c r="K197" t="s">
        <v>90</v>
      </c>
      <c r="L197" s="23">
        <v>690000</v>
      </c>
      <c r="M197">
        <v>60</v>
      </c>
      <c r="N197">
        <v>9.51</v>
      </c>
      <c r="O197">
        <v>1</v>
      </c>
      <c r="P197">
        <v>4</v>
      </c>
      <c r="Q197" t="s">
        <v>85</v>
      </c>
    </row>
    <row r="198" customHeight="1" spans="1:17">
      <c r="A198" t="s">
        <v>491</v>
      </c>
      <c r="B198" t="s">
        <v>492</v>
      </c>
      <c r="C198" t="s">
        <v>81</v>
      </c>
      <c r="D198">
        <v>42</v>
      </c>
      <c r="E198" t="s">
        <v>115</v>
      </c>
      <c r="F198">
        <v>2</v>
      </c>
      <c r="G198" t="s">
        <v>89</v>
      </c>
      <c r="H198" s="23">
        <v>117986</v>
      </c>
      <c r="I198" s="23">
        <v>36085</v>
      </c>
      <c r="J198">
        <v>772</v>
      </c>
      <c r="K198" t="s">
        <v>131</v>
      </c>
      <c r="L198" s="23">
        <v>300000</v>
      </c>
      <c r="M198">
        <v>36</v>
      </c>
      <c r="N198">
        <v>14.47</v>
      </c>
      <c r="O198">
        <v>5</v>
      </c>
      <c r="P198">
        <v>2</v>
      </c>
      <c r="Q198" t="s">
        <v>85</v>
      </c>
    </row>
    <row r="199" customHeight="1" spans="1:17">
      <c r="A199" t="s">
        <v>493</v>
      </c>
      <c r="B199" t="s">
        <v>494</v>
      </c>
      <c r="C199" t="s">
        <v>109</v>
      </c>
      <c r="D199">
        <v>33</v>
      </c>
      <c r="E199" t="s">
        <v>98</v>
      </c>
      <c r="F199">
        <v>2</v>
      </c>
      <c r="G199" t="s">
        <v>83</v>
      </c>
      <c r="H199" s="23">
        <v>79316</v>
      </c>
      <c r="I199" s="23">
        <v>0</v>
      </c>
      <c r="J199">
        <v>707</v>
      </c>
      <c r="K199" t="s">
        <v>119</v>
      </c>
      <c r="L199" s="23">
        <v>670000</v>
      </c>
      <c r="M199">
        <v>48</v>
      </c>
      <c r="N199">
        <v>10.8</v>
      </c>
      <c r="O199">
        <v>5</v>
      </c>
      <c r="P199">
        <v>4</v>
      </c>
      <c r="Q199" t="s">
        <v>85</v>
      </c>
    </row>
    <row r="200" customHeight="1" spans="1:17">
      <c r="A200" t="s">
        <v>495</v>
      </c>
      <c r="B200" t="s">
        <v>496</v>
      </c>
      <c r="C200" t="s">
        <v>81</v>
      </c>
      <c r="D200">
        <v>26</v>
      </c>
      <c r="E200" t="s">
        <v>157</v>
      </c>
      <c r="F200">
        <v>2</v>
      </c>
      <c r="G200" t="s">
        <v>83</v>
      </c>
      <c r="H200" s="23">
        <v>39149</v>
      </c>
      <c r="I200" s="23">
        <v>0</v>
      </c>
      <c r="J200">
        <v>688</v>
      </c>
      <c r="K200" t="s">
        <v>125</v>
      </c>
      <c r="L200" s="23">
        <v>4380000</v>
      </c>
      <c r="M200">
        <v>240</v>
      </c>
      <c r="N200">
        <v>9.58</v>
      </c>
      <c r="O200">
        <v>7</v>
      </c>
      <c r="P200">
        <v>3</v>
      </c>
      <c r="Q200" t="s">
        <v>85</v>
      </c>
    </row>
    <row r="201" customHeight="1" spans="1:17">
      <c r="A201" t="s">
        <v>497</v>
      </c>
      <c r="B201" t="s">
        <v>498</v>
      </c>
      <c r="C201" t="s">
        <v>81</v>
      </c>
      <c r="D201">
        <v>47</v>
      </c>
      <c r="E201" t="s">
        <v>162</v>
      </c>
      <c r="F201">
        <v>1</v>
      </c>
      <c r="G201" t="s">
        <v>89</v>
      </c>
      <c r="H201" s="23">
        <v>65951</v>
      </c>
      <c r="I201" s="23">
        <v>92</v>
      </c>
      <c r="J201">
        <v>746</v>
      </c>
      <c r="K201" t="s">
        <v>125</v>
      </c>
      <c r="L201" s="23">
        <v>1090000</v>
      </c>
      <c r="M201">
        <v>240</v>
      </c>
      <c r="N201">
        <v>9.13</v>
      </c>
      <c r="O201">
        <v>0</v>
      </c>
      <c r="P201">
        <v>2</v>
      </c>
      <c r="Q201" t="s">
        <v>85</v>
      </c>
    </row>
    <row r="202" customHeight="1" spans="1:17">
      <c r="A202" t="s">
        <v>499</v>
      </c>
      <c r="B202" t="s">
        <v>500</v>
      </c>
      <c r="C202" t="s">
        <v>109</v>
      </c>
      <c r="D202">
        <v>27</v>
      </c>
      <c r="E202" t="s">
        <v>138</v>
      </c>
      <c r="F202">
        <v>1</v>
      </c>
      <c r="G202" t="s">
        <v>83</v>
      </c>
      <c r="H202" s="23">
        <v>44705</v>
      </c>
      <c r="I202" s="23">
        <v>0</v>
      </c>
      <c r="J202">
        <v>722</v>
      </c>
      <c r="K202" t="s">
        <v>125</v>
      </c>
      <c r="L202" s="23">
        <v>1420000</v>
      </c>
      <c r="M202">
        <v>240</v>
      </c>
      <c r="N202">
        <v>8.73</v>
      </c>
      <c r="O202">
        <v>0</v>
      </c>
      <c r="P202">
        <v>3</v>
      </c>
      <c r="Q202" t="s">
        <v>85</v>
      </c>
    </row>
    <row r="203" customHeight="1" spans="1:17">
      <c r="A203" t="s">
        <v>501</v>
      </c>
      <c r="B203" t="s">
        <v>502</v>
      </c>
      <c r="C203" t="s">
        <v>109</v>
      </c>
      <c r="D203">
        <v>47</v>
      </c>
      <c r="E203" t="s">
        <v>88</v>
      </c>
      <c r="F203">
        <v>3</v>
      </c>
      <c r="G203" t="s">
        <v>83</v>
      </c>
      <c r="H203" s="23">
        <v>36000</v>
      </c>
      <c r="I203" s="23">
        <v>10565</v>
      </c>
      <c r="J203">
        <v>745</v>
      </c>
      <c r="K203" t="s">
        <v>125</v>
      </c>
      <c r="L203" s="23">
        <v>3320000</v>
      </c>
      <c r="M203">
        <v>240</v>
      </c>
      <c r="N203">
        <v>9.26</v>
      </c>
      <c r="O203">
        <v>3</v>
      </c>
      <c r="P203">
        <v>2</v>
      </c>
      <c r="Q203" t="s">
        <v>85</v>
      </c>
    </row>
    <row r="204" customHeight="1" spans="1:17">
      <c r="A204" t="s">
        <v>503</v>
      </c>
      <c r="B204" t="s">
        <v>504</v>
      </c>
      <c r="C204" t="s">
        <v>81</v>
      </c>
      <c r="D204">
        <v>54</v>
      </c>
      <c r="E204" t="s">
        <v>98</v>
      </c>
      <c r="F204">
        <v>2</v>
      </c>
      <c r="G204" t="s">
        <v>83</v>
      </c>
      <c r="H204" s="23">
        <v>47356</v>
      </c>
      <c r="I204" s="23">
        <v>0</v>
      </c>
      <c r="J204">
        <v>732</v>
      </c>
      <c r="K204" t="s">
        <v>119</v>
      </c>
      <c r="L204" s="23">
        <v>550000</v>
      </c>
      <c r="M204">
        <v>48</v>
      </c>
      <c r="N204">
        <v>11.01</v>
      </c>
      <c r="O204">
        <v>7</v>
      </c>
      <c r="P204">
        <v>4</v>
      </c>
      <c r="Q204" t="s">
        <v>85</v>
      </c>
    </row>
    <row r="205" customHeight="1" spans="1:17">
      <c r="A205" t="s">
        <v>505</v>
      </c>
      <c r="B205" t="s">
        <v>506</v>
      </c>
      <c r="C205" t="s">
        <v>81</v>
      </c>
      <c r="D205">
        <v>42</v>
      </c>
      <c r="E205" t="s">
        <v>237</v>
      </c>
      <c r="F205">
        <v>1</v>
      </c>
      <c r="G205" t="s">
        <v>83</v>
      </c>
      <c r="H205" s="23">
        <v>40642</v>
      </c>
      <c r="I205" s="23">
        <v>17184</v>
      </c>
      <c r="J205">
        <v>699</v>
      </c>
      <c r="K205" t="s">
        <v>95</v>
      </c>
      <c r="L205" s="23">
        <v>1830000</v>
      </c>
      <c r="M205">
        <v>60</v>
      </c>
      <c r="N205">
        <v>13.74</v>
      </c>
      <c r="O205">
        <v>2</v>
      </c>
      <c r="P205">
        <v>4</v>
      </c>
      <c r="Q205" t="s">
        <v>85</v>
      </c>
    </row>
    <row r="206" customHeight="1" spans="1:17">
      <c r="A206" t="s">
        <v>507</v>
      </c>
      <c r="B206" t="s">
        <v>395</v>
      </c>
      <c r="C206" t="s">
        <v>81</v>
      </c>
      <c r="D206">
        <v>43</v>
      </c>
      <c r="E206" t="s">
        <v>179</v>
      </c>
      <c r="F206">
        <v>2</v>
      </c>
      <c r="G206" t="s">
        <v>83</v>
      </c>
      <c r="H206" s="23">
        <v>84203</v>
      </c>
      <c r="I206" s="23">
        <v>7910</v>
      </c>
      <c r="J206">
        <v>768</v>
      </c>
      <c r="K206" t="s">
        <v>125</v>
      </c>
      <c r="L206" s="23">
        <v>4370000</v>
      </c>
      <c r="M206">
        <v>240</v>
      </c>
      <c r="N206">
        <v>9.33</v>
      </c>
      <c r="O206">
        <v>6</v>
      </c>
      <c r="P206">
        <v>1</v>
      </c>
      <c r="Q206" t="s">
        <v>85</v>
      </c>
    </row>
    <row r="207" customHeight="1" spans="1:17">
      <c r="A207" t="s">
        <v>508</v>
      </c>
      <c r="B207" t="s">
        <v>509</v>
      </c>
      <c r="C207" t="s">
        <v>109</v>
      </c>
      <c r="D207">
        <v>21</v>
      </c>
      <c r="E207" t="s">
        <v>169</v>
      </c>
      <c r="F207">
        <v>3</v>
      </c>
      <c r="G207" t="s">
        <v>103</v>
      </c>
      <c r="H207" s="23">
        <v>167620</v>
      </c>
      <c r="I207" s="23">
        <v>7171</v>
      </c>
      <c r="J207">
        <v>705</v>
      </c>
      <c r="K207" t="s">
        <v>95</v>
      </c>
      <c r="L207" s="23">
        <v>1090000</v>
      </c>
      <c r="M207">
        <v>60</v>
      </c>
      <c r="N207">
        <v>13.92</v>
      </c>
      <c r="O207">
        <v>4</v>
      </c>
      <c r="P207">
        <v>3</v>
      </c>
      <c r="Q207" t="s">
        <v>85</v>
      </c>
    </row>
    <row r="208" customHeight="1" spans="1:17">
      <c r="A208" t="s">
        <v>510</v>
      </c>
      <c r="B208" t="s">
        <v>511</v>
      </c>
      <c r="C208" t="s">
        <v>109</v>
      </c>
      <c r="D208">
        <v>33</v>
      </c>
      <c r="E208" t="s">
        <v>138</v>
      </c>
      <c r="F208">
        <v>1</v>
      </c>
      <c r="G208" t="s">
        <v>116</v>
      </c>
      <c r="H208" s="23">
        <v>27270</v>
      </c>
      <c r="I208" s="23">
        <v>0</v>
      </c>
      <c r="J208">
        <v>628</v>
      </c>
      <c r="K208" t="s">
        <v>84</v>
      </c>
      <c r="L208" s="23">
        <v>1150000</v>
      </c>
      <c r="M208">
        <v>84</v>
      </c>
      <c r="N208">
        <v>10.18</v>
      </c>
      <c r="O208">
        <v>5</v>
      </c>
      <c r="P208">
        <v>4</v>
      </c>
      <c r="Q208" t="s">
        <v>91</v>
      </c>
    </row>
    <row r="209" customHeight="1" spans="1:17">
      <c r="A209" t="s">
        <v>512</v>
      </c>
      <c r="B209" t="s">
        <v>513</v>
      </c>
      <c r="C209" t="s">
        <v>109</v>
      </c>
      <c r="D209">
        <v>50</v>
      </c>
      <c r="E209" t="s">
        <v>98</v>
      </c>
      <c r="F209">
        <v>2</v>
      </c>
      <c r="G209" t="s">
        <v>83</v>
      </c>
      <c r="H209" s="23">
        <v>108928</v>
      </c>
      <c r="I209" s="23">
        <v>0</v>
      </c>
      <c r="J209">
        <v>673</v>
      </c>
      <c r="K209" t="s">
        <v>84</v>
      </c>
      <c r="L209" s="23">
        <v>1170000</v>
      </c>
      <c r="M209">
        <v>84</v>
      </c>
      <c r="N209">
        <v>10.26</v>
      </c>
      <c r="O209">
        <v>2</v>
      </c>
      <c r="P209">
        <v>4</v>
      </c>
      <c r="Q209" t="s">
        <v>85</v>
      </c>
    </row>
    <row r="210" customHeight="1" spans="1:17">
      <c r="A210" t="s">
        <v>514</v>
      </c>
      <c r="B210" t="s">
        <v>515</v>
      </c>
      <c r="C210" t="s">
        <v>81</v>
      </c>
      <c r="D210">
        <v>35</v>
      </c>
      <c r="E210" t="s">
        <v>106</v>
      </c>
      <c r="F210">
        <v>2</v>
      </c>
      <c r="G210" t="s">
        <v>103</v>
      </c>
      <c r="H210" s="23">
        <v>41869</v>
      </c>
      <c r="I210" s="23">
        <v>7672</v>
      </c>
      <c r="J210">
        <v>722</v>
      </c>
      <c r="K210" t="s">
        <v>125</v>
      </c>
      <c r="L210" s="23">
        <v>4250000</v>
      </c>
      <c r="M210">
        <v>240</v>
      </c>
      <c r="N210">
        <v>9.55</v>
      </c>
      <c r="O210">
        <v>1</v>
      </c>
      <c r="P210">
        <v>1</v>
      </c>
      <c r="Q210" t="s">
        <v>91</v>
      </c>
    </row>
    <row r="211" customHeight="1" spans="1:17">
      <c r="A211" t="s">
        <v>516</v>
      </c>
      <c r="B211" t="s">
        <v>517</v>
      </c>
      <c r="C211" t="s">
        <v>81</v>
      </c>
      <c r="D211">
        <v>34</v>
      </c>
      <c r="E211" t="s">
        <v>162</v>
      </c>
      <c r="F211">
        <v>1</v>
      </c>
      <c r="G211" t="s">
        <v>83</v>
      </c>
      <c r="H211" s="23">
        <v>91287</v>
      </c>
      <c r="I211" s="23">
        <v>0</v>
      </c>
      <c r="J211">
        <v>714</v>
      </c>
      <c r="K211" t="s">
        <v>84</v>
      </c>
      <c r="L211" s="23">
        <v>920000</v>
      </c>
      <c r="M211">
        <v>84</v>
      </c>
      <c r="N211">
        <v>11.6</v>
      </c>
      <c r="O211">
        <v>2</v>
      </c>
      <c r="P211">
        <v>3</v>
      </c>
      <c r="Q211" t="s">
        <v>85</v>
      </c>
    </row>
    <row r="212" customHeight="1" spans="1:17">
      <c r="A212" t="s">
        <v>518</v>
      </c>
      <c r="B212" t="s">
        <v>194</v>
      </c>
      <c r="C212" t="s">
        <v>109</v>
      </c>
      <c r="D212">
        <v>31</v>
      </c>
      <c r="E212" t="s">
        <v>128</v>
      </c>
      <c r="F212">
        <v>2</v>
      </c>
      <c r="G212" t="s">
        <v>89</v>
      </c>
      <c r="H212" s="23">
        <v>88263</v>
      </c>
      <c r="I212" s="23">
        <v>0</v>
      </c>
      <c r="J212">
        <v>744</v>
      </c>
      <c r="K212" t="s">
        <v>119</v>
      </c>
      <c r="L212" s="23">
        <v>260000</v>
      </c>
      <c r="M212">
        <v>48</v>
      </c>
      <c r="N212">
        <v>11.69</v>
      </c>
      <c r="O212">
        <v>1</v>
      </c>
      <c r="P212">
        <v>4</v>
      </c>
      <c r="Q212" t="s">
        <v>85</v>
      </c>
    </row>
    <row r="213" customHeight="1" spans="1:17">
      <c r="A213" t="s">
        <v>519</v>
      </c>
      <c r="B213" t="s">
        <v>345</v>
      </c>
      <c r="C213" t="s">
        <v>109</v>
      </c>
      <c r="D213">
        <v>36</v>
      </c>
      <c r="E213" t="s">
        <v>128</v>
      </c>
      <c r="F213">
        <v>2</v>
      </c>
      <c r="G213" t="s">
        <v>116</v>
      </c>
      <c r="H213" s="23">
        <v>84714</v>
      </c>
      <c r="I213" s="23">
        <v>30032</v>
      </c>
      <c r="J213">
        <v>672</v>
      </c>
      <c r="K213" t="s">
        <v>125</v>
      </c>
      <c r="L213" s="23">
        <v>5020000</v>
      </c>
      <c r="M213">
        <v>240</v>
      </c>
      <c r="N213">
        <v>9.67</v>
      </c>
      <c r="O213">
        <v>11</v>
      </c>
      <c r="P213">
        <v>0</v>
      </c>
      <c r="Q213" t="s">
        <v>91</v>
      </c>
    </row>
    <row r="214" customHeight="1" spans="1:17">
      <c r="A214" t="s">
        <v>520</v>
      </c>
      <c r="B214" t="s">
        <v>521</v>
      </c>
      <c r="C214" t="s">
        <v>81</v>
      </c>
      <c r="D214">
        <v>43</v>
      </c>
      <c r="E214" t="s">
        <v>152</v>
      </c>
      <c r="F214">
        <v>1</v>
      </c>
      <c r="G214" t="s">
        <v>89</v>
      </c>
      <c r="H214" s="23">
        <v>86877</v>
      </c>
      <c r="I214" s="23">
        <v>5358</v>
      </c>
      <c r="J214">
        <v>678</v>
      </c>
      <c r="K214" t="s">
        <v>131</v>
      </c>
      <c r="L214" s="23">
        <v>400000</v>
      </c>
      <c r="M214">
        <v>36</v>
      </c>
      <c r="N214">
        <v>13.85</v>
      </c>
      <c r="O214">
        <v>1</v>
      </c>
      <c r="P214">
        <v>2</v>
      </c>
      <c r="Q214" t="s">
        <v>85</v>
      </c>
    </row>
    <row r="215" customHeight="1" spans="1:17">
      <c r="A215" t="s">
        <v>522</v>
      </c>
      <c r="B215" t="s">
        <v>523</v>
      </c>
      <c r="C215" t="s">
        <v>109</v>
      </c>
      <c r="D215">
        <v>21</v>
      </c>
      <c r="E215" t="s">
        <v>128</v>
      </c>
      <c r="F215">
        <v>2</v>
      </c>
      <c r="G215" t="s">
        <v>83</v>
      </c>
      <c r="H215" s="23">
        <v>49987</v>
      </c>
      <c r="I215" s="23">
        <v>10824</v>
      </c>
      <c r="J215">
        <v>677</v>
      </c>
      <c r="K215" t="s">
        <v>95</v>
      </c>
      <c r="L215" s="23">
        <v>650000</v>
      </c>
      <c r="M215">
        <v>60</v>
      </c>
      <c r="N215">
        <v>14.53</v>
      </c>
      <c r="O215">
        <v>1</v>
      </c>
      <c r="P215">
        <v>0</v>
      </c>
      <c r="Q215" t="s">
        <v>85</v>
      </c>
    </row>
    <row r="216" customHeight="1" spans="1:17">
      <c r="A216" t="s">
        <v>524</v>
      </c>
      <c r="B216" t="s">
        <v>525</v>
      </c>
      <c r="C216" t="s">
        <v>81</v>
      </c>
      <c r="D216">
        <v>28</v>
      </c>
      <c r="E216" t="s">
        <v>115</v>
      </c>
      <c r="F216">
        <v>2</v>
      </c>
      <c r="G216" t="s">
        <v>83</v>
      </c>
      <c r="H216" s="23">
        <v>30260</v>
      </c>
      <c r="I216" s="23">
        <v>1206</v>
      </c>
      <c r="J216">
        <v>713</v>
      </c>
      <c r="K216" t="s">
        <v>131</v>
      </c>
      <c r="L216" s="23">
        <v>290000</v>
      </c>
      <c r="M216">
        <v>36</v>
      </c>
      <c r="N216">
        <v>13.12</v>
      </c>
      <c r="O216">
        <v>2</v>
      </c>
      <c r="P216">
        <v>0</v>
      </c>
      <c r="Q216" t="s">
        <v>85</v>
      </c>
    </row>
    <row r="217" customHeight="1" spans="1:17">
      <c r="A217" t="s">
        <v>526</v>
      </c>
      <c r="B217" t="s">
        <v>527</v>
      </c>
      <c r="C217" t="s">
        <v>81</v>
      </c>
      <c r="D217">
        <v>25</v>
      </c>
      <c r="E217" t="s">
        <v>179</v>
      </c>
      <c r="F217">
        <v>2</v>
      </c>
      <c r="G217" t="s">
        <v>83</v>
      </c>
      <c r="H217" s="23">
        <v>73515</v>
      </c>
      <c r="I217" s="23">
        <v>0</v>
      </c>
      <c r="J217">
        <v>712</v>
      </c>
      <c r="K217" t="s">
        <v>131</v>
      </c>
      <c r="L217" s="23">
        <v>140000</v>
      </c>
      <c r="M217">
        <v>36</v>
      </c>
      <c r="N217">
        <v>14.11</v>
      </c>
      <c r="O217">
        <v>1</v>
      </c>
      <c r="P217">
        <v>0</v>
      </c>
      <c r="Q217" t="s">
        <v>85</v>
      </c>
    </row>
    <row r="218" customHeight="1" spans="1:17">
      <c r="A218" t="s">
        <v>528</v>
      </c>
      <c r="B218" t="s">
        <v>529</v>
      </c>
      <c r="C218" t="s">
        <v>81</v>
      </c>
      <c r="D218">
        <v>49</v>
      </c>
      <c r="E218" t="s">
        <v>237</v>
      </c>
      <c r="F218">
        <v>1</v>
      </c>
      <c r="G218" t="s">
        <v>116</v>
      </c>
      <c r="H218" s="23">
        <v>40847</v>
      </c>
      <c r="I218" s="23">
        <v>0</v>
      </c>
      <c r="J218">
        <v>749</v>
      </c>
      <c r="K218" t="s">
        <v>95</v>
      </c>
      <c r="L218" s="23">
        <v>800000</v>
      </c>
      <c r="M218">
        <v>60</v>
      </c>
      <c r="N218">
        <v>13.92</v>
      </c>
      <c r="O218">
        <v>8</v>
      </c>
      <c r="P218">
        <v>4</v>
      </c>
      <c r="Q218" t="s">
        <v>85</v>
      </c>
    </row>
    <row r="219" customHeight="1" spans="1:17">
      <c r="A219" t="s">
        <v>530</v>
      </c>
      <c r="B219" t="s">
        <v>531</v>
      </c>
      <c r="C219" t="s">
        <v>109</v>
      </c>
      <c r="D219">
        <v>29</v>
      </c>
      <c r="E219" t="s">
        <v>138</v>
      </c>
      <c r="F219">
        <v>1</v>
      </c>
      <c r="G219" t="s">
        <v>116</v>
      </c>
      <c r="H219" s="23">
        <v>26509</v>
      </c>
      <c r="I219" s="23">
        <v>2089</v>
      </c>
      <c r="J219">
        <v>733</v>
      </c>
      <c r="K219" t="s">
        <v>125</v>
      </c>
      <c r="L219" s="23">
        <v>1060000</v>
      </c>
      <c r="M219">
        <v>240</v>
      </c>
      <c r="N219">
        <v>9.39</v>
      </c>
      <c r="O219">
        <v>26</v>
      </c>
      <c r="P219">
        <v>4</v>
      </c>
      <c r="Q219" t="s">
        <v>85</v>
      </c>
    </row>
    <row r="220" customHeight="1" spans="1:17">
      <c r="A220" t="s">
        <v>532</v>
      </c>
      <c r="B220" t="s">
        <v>533</v>
      </c>
      <c r="C220" t="s">
        <v>81</v>
      </c>
      <c r="D220">
        <v>30</v>
      </c>
      <c r="E220" t="s">
        <v>182</v>
      </c>
      <c r="F220">
        <v>1</v>
      </c>
      <c r="G220" t="s">
        <v>103</v>
      </c>
      <c r="H220" s="23">
        <v>57845</v>
      </c>
      <c r="I220" s="23">
        <v>24680</v>
      </c>
      <c r="J220">
        <v>799</v>
      </c>
      <c r="K220" t="s">
        <v>125</v>
      </c>
      <c r="L220" s="23">
        <v>3550000</v>
      </c>
      <c r="M220">
        <v>240</v>
      </c>
      <c r="N220">
        <v>9.77</v>
      </c>
      <c r="O220">
        <v>1</v>
      </c>
      <c r="P220">
        <v>0</v>
      </c>
      <c r="Q220" t="s">
        <v>85</v>
      </c>
    </row>
    <row r="221" customHeight="1" spans="1:17">
      <c r="A221" t="s">
        <v>534</v>
      </c>
      <c r="B221" t="s">
        <v>535</v>
      </c>
      <c r="C221" t="s">
        <v>81</v>
      </c>
      <c r="D221">
        <v>28</v>
      </c>
      <c r="E221" t="s">
        <v>169</v>
      </c>
      <c r="F221">
        <v>3</v>
      </c>
      <c r="G221" t="s">
        <v>83</v>
      </c>
      <c r="H221" s="23">
        <v>50317</v>
      </c>
      <c r="I221" s="23">
        <v>524</v>
      </c>
      <c r="J221">
        <v>710</v>
      </c>
      <c r="K221" t="s">
        <v>84</v>
      </c>
      <c r="L221" s="23">
        <v>1300000</v>
      </c>
      <c r="M221">
        <v>84</v>
      </c>
      <c r="N221">
        <v>10.27</v>
      </c>
      <c r="O221">
        <v>3</v>
      </c>
      <c r="P221">
        <v>1</v>
      </c>
      <c r="Q221" t="s">
        <v>85</v>
      </c>
    </row>
    <row r="222" customHeight="1" spans="1:17">
      <c r="A222" t="s">
        <v>536</v>
      </c>
      <c r="B222" t="s">
        <v>537</v>
      </c>
      <c r="C222" t="s">
        <v>109</v>
      </c>
      <c r="D222">
        <v>27</v>
      </c>
      <c r="E222" t="s">
        <v>169</v>
      </c>
      <c r="F222">
        <v>3</v>
      </c>
      <c r="G222" t="s">
        <v>83</v>
      </c>
      <c r="H222" s="23">
        <v>91843</v>
      </c>
      <c r="I222" s="23">
        <v>0</v>
      </c>
      <c r="J222">
        <v>723</v>
      </c>
      <c r="K222" t="s">
        <v>131</v>
      </c>
      <c r="L222" s="23">
        <v>180000</v>
      </c>
      <c r="M222">
        <v>36</v>
      </c>
      <c r="N222">
        <v>13.23</v>
      </c>
      <c r="O222">
        <v>2</v>
      </c>
      <c r="P222">
        <v>1</v>
      </c>
      <c r="Q222" t="s">
        <v>85</v>
      </c>
    </row>
    <row r="223" customHeight="1" spans="1:17">
      <c r="A223" t="s">
        <v>538</v>
      </c>
      <c r="B223" t="s">
        <v>539</v>
      </c>
      <c r="C223" t="s">
        <v>81</v>
      </c>
      <c r="D223">
        <v>30</v>
      </c>
      <c r="E223" t="s">
        <v>237</v>
      </c>
      <c r="F223">
        <v>1</v>
      </c>
      <c r="G223" t="s">
        <v>83</v>
      </c>
      <c r="H223" s="23">
        <v>85429</v>
      </c>
      <c r="I223" s="23">
        <v>0</v>
      </c>
      <c r="J223">
        <v>622</v>
      </c>
      <c r="K223" t="s">
        <v>119</v>
      </c>
      <c r="L223" s="23">
        <v>270000</v>
      </c>
      <c r="M223">
        <v>48</v>
      </c>
      <c r="N223">
        <v>11.63</v>
      </c>
      <c r="O223">
        <v>2</v>
      </c>
      <c r="P223">
        <v>1</v>
      </c>
      <c r="Q223" t="s">
        <v>85</v>
      </c>
    </row>
    <row r="224" customHeight="1" spans="1:17">
      <c r="A224" t="s">
        <v>540</v>
      </c>
      <c r="B224" t="s">
        <v>541</v>
      </c>
      <c r="C224" t="s">
        <v>109</v>
      </c>
      <c r="D224">
        <v>48</v>
      </c>
      <c r="E224" t="s">
        <v>94</v>
      </c>
      <c r="F224">
        <v>1</v>
      </c>
      <c r="G224" t="s">
        <v>103</v>
      </c>
      <c r="H224" s="23">
        <v>42915</v>
      </c>
      <c r="I224" s="23">
        <v>16035</v>
      </c>
      <c r="J224">
        <v>597</v>
      </c>
      <c r="K224" t="s">
        <v>125</v>
      </c>
      <c r="L224" s="23">
        <v>3300000</v>
      </c>
      <c r="M224">
        <v>240</v>
      </c>
      <c r="N224">
        <v>8.49</v>
      </c>
      <c r="O224">
        <v>1</v>
      </c>
      <c r="P224">
        <v>2</v>
      </c>
      <c r="Q224" t="s">
        <v>91</v>
      </c>
    </row>
    <row r="225" customHeight="1" spans="1:17">
      <c r="A225" t="s">
        <v>542</v>
      </c>
      <c r="B225" t="s">
        <v>543</v>
      </c>
      <c r="C225" t="s">
        <v>81</v>
      </c>
      <c r="D225">
        <v>46</v>
      </c>
      <c r="E225" t="s">
        <v>149</v>
      </c>
      <c r="F225">
        <v>1</v>
      </c>
      <c r="G225" t="s">
        <v>116</v>
      </c>
      <c r="H225" s="23">
        <v>53377</v>
      </c>
      <c r="I225" s="23">
        <v>0</v>
      </c>
      <c r="J225">
        <v>712</v>
      </c>
      <c r="K225" t="s">
        <v>90</v>
      </c>
      <c r="L225" s="23">
        <v>780000</v>
      </c>
      <c r="M225">
        <v>60</v>
      </c>
      <c r="N225">
        <v>9.79</v>
      </c>
      <c r="O225">
        <v>13</v>
      </c>
      <c r="P225">
        <v>1</v>
      </c>
      <c r="Q225" t="s">
        <v>85</v>
      </c>
    </row>
    <row r="226" customHeight="1" spans="1:17">
      <c r="A226" t="s">
        <v>544</v>
      </c>
      <c r="B226" t="s">
        <v>545</v>
      </c>
      <c r="C226" t="s">
        <v>81</v>
      </c>
      <c r="D226">
        <v>41</v>
      </c>
      <c r="E226" t="s">
        <v>94</v>
      </c>
      <c r="F226">
        <v>1</v>
      </c>
      <c r="G226" t="s">
        <v>116</v>
      </c>
      <c r="H226" s="23">
        <v>61391</v>
      </c>
      <c r="I226" s="23">
        <v>0</v>
      </c>
      <c r="J226">
        <v>659</v>
      </c>
      <c r="K226" t="s">
        <v>95</v>
      </c>
      <c r="L226" s="23">
        <v>780000</v>
      </c>
      <c r="M226">
        <v>60</v>
      </c>
      <c r="N226">
        <v>14.12</v>
      </c>
      <c r="O226">
        <v>0</v>
      </c>
      <c r="P226">
        <v>1</v>
      </c>
      <c r="Q226" t="s">
        <v>85</v>
      </c>
    </row>
    <row r="227" customHeight="1" spans="1:17">
      <c r="A227" t="s">
        <v>546</v>
      </c>
      <c r="B227" t="s">
        <v>236</v>
      </c>
      <c r="C227" t="s">
        <v>81</v>
      </c>
      <c r="D227">
        <v>21</v>
      </c>
      <c r="E227" t="s">
        <v>214</v>
      </c>
      <c r="F227">
        <v>2</v>
      </c>
      <c r="G227" t="s">
        <v>89</v>
      </c>
      <c r="H227" s="23">
        <v>43119</v>
      </c>
      <c r="I227" s="23">
        <v>0</v>
      </c>
      <c r="J227">
        <v>730</v>
      </c>
      <c r="K227" t="s">
        <v>90</v>
      </c>
      <c r="L227" s="23">
        <v>1050000</v>
      </c>
      <c r="M227">
        <v>60</v>
      </c>
      <c r="N227">
        <v>9.14</v>
      </c>
      <c r="O227">
        <v>0</v>
      </c>
      <c r="P227">
        <v>0</v>
      </c>
      <c r="Q227" t="s">
        <v>85</v>
      </c>
    </row>
    <row r="228" customHeight="1" spans="1:17">
      <c r="A228" t="s">
        <v>547</v>
      </c>
      <c r="B228" t="s">
        <v>548</v>
      </c>
      <c r="C228" t="s">
        <v>109</v>
      </c>
      <c r="D228">
        <v>37</v>
      </c>
      <c r="E228" t="s">
        <v>138</v>
      </c>
      <c r="F228">
        <v>1</v>
      </c>
      <c r="G228" t="s">
        <v>83</v>
      </c>
      <c r="H228" s="23">
        <v>42088</v>
      </c>
      <c r="I228" s="23">
        <v>4783</v>
      </c>
      <c r="J228">
        <v>721</v>
      </c>
      <c r="K228" t="s">
        <v>125</v>
      </c>
      <c r="L228" s="23">
        <v>3040000</v>
      </c>
      <c r="M228">
        <v>240</v>
      </c>
      <c r="N228">
        <v>9.28</v>
      </c>
      <c r="O228">
        <v>0</v>
      </c>
      <c r="P228">
        <v>0</v>
      </c>
      <c r="Q228" t="s">
        <v>85</v>
      </c>
    </row>
    <row r="229" customHeight="1" spans="1:17">
      <c r="A229" t="s">
        <v>549</v>
      </c>
      <c r="B229" t="s">
        <v>550</v>
      </c>
      <c r="C229" t="s">
        <v>81</v>
      </c>
      <c r="D229">
        <v>31</v>
      </c>
      <c r="E229" t="s">
        <v>122</v>
      </c>
      <c r="F229">
        <v>2</v>
      </c>
      <c r="G229" t="s">
        <v>83</v>
      </c>
      <c r="H229" s="23">
        <v>85615</v>
      </c>
      <c r="I229" s="23">
        <v>0</v>
      </c>
      <c r="J229">
        <v>743</v>
      </c>
      <c r="K229" t="s">
        <v>84</v>
      </c>
      <c r="L229" s="23">
        <v>1250000</v>
      </c>
      <c r="M229">
        <v>84</v>
      </c>
      <c r="N229">
        <v>11.03</v>
      </c>
      <c r="O229">
        <v>1</v>
      </c>
      <c r="P229">
        <v>1</v>
      </c>
      <c r="Q229" t="s">
        <v>85</v>
      </c>
    </row>
    <row r="230" customHeight="1" spans="1:17">
      <c r="A230" t="s">
        <v>551</v>
      </c>
      <c r="B230" t="s">
        <v>552</v>
      </c>
      <c r="C230" t="s">
        <v>109</v>
      </c>
      <c r="D230">
        <v>38</v>
      </c>
      <c r="E230" t="s">
        <v>179</v>
      </c>
      <c r="F230">
        <v>2</v>
      </c>
      <c r="G230" t="s">
        <v>83</v>
      </c>
      <c r="H230" s="23">
        <v>67411</v>
      </c>
      <c r="I230" s="23">
        <v>0</v>
      </c>
      <c r="J230">
        <v>685</v>
      </c>
      <c r="K230" t="s">
        <v>131</v>
      </c>
      <c r="L230" s="23">
        <v>120000</v>
      </c>
      <c r="M230">
        <v>36</v>
      </c>
      <c r="N230">
        <v>14.07</v>
      </c>
      <c r="O230">
        <v>3</v>
      </c>
      <c r="P230">
        <v>3</v>
      </c>
      <c r="Q230" t="s">
        <v>85</v>
      </c>
    </row>
    <row r="231" customHeight="1" spans="1:17">
      <c r="A231" t="s">
        <v>553</v>
      </c>
      <c r="B231" t="s">
        <v>554</v>
      </c>
      <c r="C231" t="s">
        <v>81</v>
      </c>
      <c r="D231">
        <v>38</v>
      </c>
      <c r="E231" t="s">
        <v>214</v>
      </c>
      <c r="F231">
        <v>2</v>
      </c>
      <c r="G231" t="s">
        <v>103</v>
      </c>
      <c r="H231" s="23">
        <v>62699</v>
      </c>
      <c r="I231" s="23">
        <v>15162</v>
      </c>
      <c r="J231">
        <v>705</v>
      </c>
      <c r="K231" t="s">
        <v>95</v>
      </c>
      <c r="L231" s="23">
        <v>1270000</v>
      </c>
      <c r="M231">
        <v>60</v>
      </c>
      <c r="N231">
        <v>13.72</v>
      </c>
      <c r="O231">
        <v>13</v>
      </c>
      <c r="P231">
        <v>4</v>
      </c>
      <c r="Q231" t="s">
        <v>85</v>
      </c>
    </row>
    <row r="232" customHeight="1" spans="1:17">
      <c r="A232" t="s">
        <v>555</v>
      </c>
      <c r="B232" t="s">
        <v>556</v>
      </c>
      <c r="C232" t="s">
        <v>109</v>
      </c>
      <c r="D232">
        <v>32</v>
      </c>
      <c r="E232" t="s">
        <v>172</v>
      </c>
      <c r="F232">
        <v>2</v>
      </c>
      <c r="G232" t="s">
        <v>116</v>
      </c>
      <c r="H232" s="23">
        <v>69629</v>
      </c>
      <c r="I232" s="23">
        <v>11126</v>
      </c>
      <c r="J232">
        <v>707</v>
      </c>
      <c r="K232" t="s">
        <v>95</v>
      </c>
      <c r="L232" s="23">
        <v>490000</v>
      </c>
      <c r="M232">
        <v>60</v>
      </c>
      <c r="N232">
        <v>15.02</v>
      </c>
      <c r="O232">
        <v>12</v>
      </c>
      <c r="P232">
        <v>3</v>
      </c>
      <c r="Q232" t="s">
        <v>85</v>
      </c>
    </row>
    <row r="233" customHeight="1" spans="1:17">
      <c r="A233" t="s">
        <v>557</v>
      </c>
      <c r="B233" t="s">
        <v>434</v>
      </c>
      <c r="C233" t="s">
        <v>81</v>
      </c>
      <c r="D233">
        <v>43</v>
      </c>
      <c r="E233" t="s">
        <v>152</v>
      </c>
      <c r="F233">
        <v>1</v>
      </c>
      <c r="G233" t="s">
        <v>89</v>
      </c>
      <c r="H233" s="23">
        <v>57788</v>
      </c>
      <c r="I233" s="23">
        <v>6108</v>
      </c>
      <c r="J233">
        <v>675</v>
      </c>
      <c r="K233" t="s">
        <v>90</v>
      </c>
      <c r="L233" s="23">
        <v>450000</v>
      </c>
      <c r="M233">
        <v>60</v>
      </c>
      <c r="N233">
        <v>10.09</v>
      </c>
      <c r="O233">
        <v>6</v>
      </c>
      <c r="P233">
        <v>4</v>
      </c>
      <c r="Q233" t="s">
        <v>85</v>
      </c>
    </row>
    <row r="234" customHeight="1" spans="1:17">
      <c r="A234" t="s">
        <v>558</v>
      </c>
      <c r="B234" t="s">
        <v>559</v>
      </c>
      <c r="C234" t="s">
        <v>81</v>
      </c>
      <c r="D234">
        <v>59</v>
      </c>
      <c r="E234" t="s">
        <v>149</v>
      </c>
      <c r="F234">
        <v>1</v>
      </c>
      <c r="G234" t="s">
        <v>89</v>
      </c>
      <c r="H234" s="23">
        <v>66570</v>
      </c>
      <c r="I234" s="23">
        <v>0</v>
      </c>
      <c r="J234">
        <v>832</v>
      </c>
      <c r="K234" t="s">
        <v>125</v>
      </c>
      <c r="L234" s="23">
        <v>3720000</v>
      </c>
      <c r="M234">
        <v>240</v>
      </c>
      <c r="N234">
        <v>9.47</v>
      </c>
      <c r="O234">
        <v>0</v>
      </c>
      <c r="P234">
        <v>2</v>
      </c>
      <c r="Q234" t="s">
        <v>85</v>
      </c>
    </row>
    <row r="235" customHeight="1" spans="1:17">
      <c r="A235" t="s">
        <v>560</v>
      </c>
      <c r="B235" t="s">
        <v>357</v>
      </c>
      <c r="C235" t="s">
        <v>81</v>
      </c>
      <c r="D235">
        <v>42</v>
      </c>
      <c r="E235" t="s">
        <v>110</v>
      </c>
      <c r="F235">
        <v>1</v>
      </c>
      <c r="G235" t="s">
        <v>83</v>
      </c>
      <c r="H235" s="23">
        <v>39759</v>
      </c>
      <c r="I235" s="23">
        <v>5323</v>
      </c>
      <c r="J235">
        <v>659</v>
      </c>
      <c r="K235" t="s">
        <v>95</v>
      </c>
      <c r="L235" s="23">
        <v>710000</v>
      </c>
      <c r="M235">
        <v>60</v>
      </c>
      <c r="N235">
        <v>14.71</v>
      </c>
      <c r="O235">
        <v>7</v>
      </c>
      <c r="P235">
        <v>4</v>
      </c>
      <c r="Q235" t="s">
        <v>85</v>
      </c>
    </row>
    <row r="236" customHeight="1" spans="1:17">
      <c r="A236" t="s">
        <v>561</v>
      </c>
      <c r="B236" t="s">
        <v>562</v>
      </c>
      <c r="C236" t="s">
        <v>109</v>
      </c>
      <c r="D236">
        <v>28</v>
      </c>
      <c r="E236" t="s">
        <v>98</v>
      </c>
      <c r="F236">
        <v>2</v>
      </c>
      <c r="G236" t="s">
        <v>103</v>
      </c>
      <c r="H236" s="23">
        <v>43068</v>
      </c>
      <c r="I236" s="23">
        <v>4969</v>
      </c>
      <c r="J236">
        <v>774</v>
      </c>
      <c r="K236" t="s">
        <v>119</v>
      </c>
      <c r="L236" s="23">
        <v>610000</v>
      </c>
      <c r="M236">
        <v>48</v>
      </c>
      <c r="N236">
        <v>10.89</v>
      </c>
      <c r="O236">
        <v>2</v>
      </c>
      <c r="P236">
        <v>1</v>
      </c>
      <c r="Q236" t="s">
        <v>85</v>
      </c>
    </row>
    <row r="237" customHeight="1" spans="1:17">
      <c r="A237" t="s">
        <v>563</v>
      </c>
      <c r="B237" t="s">
        <v>564</v>
      </c>
      <c r="C237" t="s">
        <v>109</v>
      </c>
      <c r="D237">
        <v>38</v>
      </c>
      <c r="E237" t="s">
        <v>138</v>
      </c>
      <c r="F237">
        <v>1</v>
      </c>
      <c r="G237" t="s">
        <v>89</v>
      </c>
      <c r="H237" s="23">
        <v>48084</v>
      </c>
      <c r="I237" s="23">
        <v>1334</v>
      </c>
      <c r="J237">
        <v>657</v>
      </c>
      <c r="K237" t="s">
        <v>125</v>
      </c>
      <c r="L237" s="23">
        <v>5200000</v>
      </c>
      <c r="M237">
        <v>240</v>
      </c>
      <c r="N237">
        <v>9.2</v>
      </c>
      <c r="O237">
        <v>6</v>
      </c>
      <c r="P237">
        <v>4</v>
      </c>
      <c r="Q237" t="s">
        <v>85</v>
      </c>
    </row>
    <row r="238" customHeight="1" spans="1:17">
      <c r="A238" t="s">
        <v>565</v>
      </c>
      <c r="B238" t="s">
        <v>566</v>
      </c>
      <c r="C238" t="s">
        <v>109</v>
      </c>
      <c r="D238">
        <v>41</v>
      </c>
      <c r="E238" t="s">
        <v>172</v>
      </c>
      <c r="F238">
        <v>2</v>
      </c>
      <c r="G238" t="s">
        <v>89</v>
      </c>
      <c r="H238" s="23">
        <v>40445</v>
      </c>
      <c r="I238" s="23">
        <v>0</v>
      </c>
      <c r="J238">
        <v>719</v>
      </c>
      <c r="K238" t="s">
        <v>90</v>
      </c>
      <c r="L238" s="23">
        <v>370000</v>
      </c>
      <c r="M238">
        <v>60</v>
      </c>
      <c r="N238">
        <v>10.04</v>
      </c>
      <c r="O238">
        <v>12</v>
      </c>
      <c r="P238">
        <v>4</v>
      </c>
      <c r="Q238" t="s">
        <v>85</v>
      </c>
    </row>
    <row r="239" customHeight="1" spans="1:17">
      <c r="A239" t="s">
        <v>567</v>
      </c>
      <c r="B239" t="s">
        <v>568</v>
      </c>
      <c r="C239" t="s">
        <v>81</v>
      </c>
      <c r="D239">
        <v>31</v>
      </c>
      <c r="E239" t="s">
        <v>82</v>
      </c>
      <c r="F239">
        <v>2</v>
      </c>
      <c r="G239" t="s">
        <v>83</v>
      </c>
      <c r="H239" s="23">
        <v>42144</v>
      </c>
      <c r="I239" s="23">
        <v>1231</v>
      </c>
      <c r="J239">
        <v>722</v>
      </c>
      <c r="K239" t="s">
        <v>95</v>
      </c>
      <c r="L239" s="23">
        <v>1180000</v>
      </c>
      <c r="M239">
        <v>60</v>
      </c>
      <c r="N239">
        <v>13.97</v>
      </c>
      <c r="O239">
        <v>6</v>
      </c>
      <c r="P239">
        <v>3</v>
      </c>
      <c r="Q239" t="s">
        <v>85</v>
      </c>
    </row>
    <row r="240" customHeight="1" spans="1:17">
      <c r="A240" t="s">
        <v>569</v>
      </c>
      <c r="B240" t="s">
        <v>570</v>
      </c>
      <c r="C240" t="s">
        <v>109</v>
      </c>
      <c r="D240">
        <v>23</v>
      </c>
      <c r="E240" t="s">
        <v>179</v>
      </c>
      <c r="F240">
        <v>2</v>
      </c>
      <c r="G240" t="s">
        <v>83</v>
      </c>
      <c r="H240" s="23">
        <v>32081</v>
      </c>
      <c r="I240" s="23">
        <v>0</v>
      </c>
      <c r="J240">
        <v>754</v>
      </c>
      <c r="K240" t="s">
        <v>131</v>
      </c>
      <c r="L240" s="23">
        <v>310000</v>
      </c>
      <c r="M240">
        <v>36</v>
      </c>
      <c r="N240">
        <v>13.48</v>
      </c>
      <c r="O240">
        <v>6</v>
      </c>
      <c r="P240">
        <v>0</v>
      </c>
      <c r="Q240" t="s">
        <v>85</v>
      </c>
    </row>
    <row r="241" customHeight="1" spans="1:17">
      <c r="A241" t="s">
        <v>571</v>
      </c>
      <c r="B241" t="s">
        <v>392</v>
      </c>
      <c r="C241" t="s">
        <v>109</v>
      </c>
      <c r="D241">
        <v>32</v>
      </c>
      <c r="E241" t="s">
        <v>182</v>
      </c>
      <c r="F241">
        <v>1</v>
      </c>
      <c r="G241" t="s">
        <v>83</v>
      </c>
      <c r="H241" s="23">
        <v>31573</v>
      </c>
      <c r="I241" s="23">
        <v>7215</v>
      </c>
      <c r="J241">
        <v>738</v>
      </c>
      <c r="K241" t="s">
        <v>95</v>
      </c>
      <c r="L241" s="23">
        <v>470000</v>
      </c>
      <c r="M241">
        <v>60</v>
      </c>
      <c r="N241">
        <v>14.11</v>
      </c>
      <c r="O241">
        <v>1</v>
      </c>
      <c r="P241">
        <v>0</v>
      </c>
      <c r="Q241" t="s">
        <v>85</v>
      </c>
    </row>
    <row r="242" customHeight="1" spans="1:17">
      <c r="A242" t="s">
        <v>572</v>
      </c>
      <c r="B242" t="s">
        <v>573</v>
      </c>
      <c r="C242" t="s">
        <v>81</v>
      </c>
      <c r="D242">
        <v>45</v>
      </c>
      <c r="E242" t="s">
        <v>214</v>
      </c>
      <c r="F242">
        <v>2</v>
      </c>
      <c r="G242" t="s">
        <v>103</v>
      </c>
      <c r="H242" s="23">
        <v>27395</v>
      </c>
      <c r="I242" s="23">
        <v>1160</v>
      </c>
      <c r="J242">
        <v>600</v>
      </c>
      <c r="K242" t="s">
        <v>119</v>
      </c>
      <c r="L242" s="23">
        <v>280000</v>
      </c>
      <c r="M242">
        <v>48</v>
      </c>
      <c r="N242">
        <v>11.66</v>
      </c>
      <c r="O242">
        <v>4</v>
      </c>
      <c r="P242">
        <v>3</v>
      </c>
      <c r="Q242" t="s">
        <v>91</v>
      </c>
    </row>
    <row r="243" customHeight="1" spans="1:17">
      <c r="A243" t="s">
        <v>574</v>
      </c>
      <c r="B243" t="s">
        <v>575</v>
      </c>
      <c r="C243" t="s">
        <v>109</v>
      </c>
      <c r="D243">
        <v>52</v>
      </c>
      <c r="E243" t="s">
        <v>169</v>
      </c>
      <c r="F243">
        <v>3</v>
      </c>
      <c r="G243" t="s">
        <v>103</v>
      </c>
      <c r="H243" s="23">
        <v>63491</v>
      </c>
      <c r="I243" s="23">
        <v>1585</v>
      </c>
      <c r="J243">
        <v>854</v>
      </c>
      <c r="K243" t="s">
        <v>84</v>
      </c>
      <c r="L243" s="23">
        <v>1040000</v>
      </c>
      <c r="M243">
        <v>84</v>
      </c>
      <c r="N243">
        <v>11.32</v>
      </c>
      <c r="O243">
        <v>1</v>
      </c>
      <c r="P243">
        <v>3</v>
      </c>
      <c r="Q243" t="s">
        <v>85</v>
      </c>
    </row>
    <row r="244" customHeight="1" spans="1:17">
      <c r="A244" t="s">
        <v>576</v>
      </c>
      <c r="B244" t="s">
        <v>577</v>
      </c>
      <c r="C244" t="s">
        <v>109</v>
      </c>
      <c r="D244">
        <v>26</v>
      </c>
      <c r="E244" t="s">
        <v>149</v>
      </c>
      <c r="F244">
        <v>1</v>
      </c>
      <c r="G244" t="s">
        <v>83</v>
      </c>
      <c r="H244" s="23">
        <v>172754</v>
      </c>
      <c r="I244" s="23">
        <v>56555</v>
      </c>
      <c r="J244">
        <v>549</v>
      </c>
      <c r="K244" t="s">
        <v>131</v>
      </c>
      <c r="L244" s="23">
        <v>350000</v>
      </c>
      <c r="M244">
        <v>36</v>
      </c>
      <c r="N244">
        <v>13.86</v>
      </c>
      <c r="O244">
        <v>2</v>
      </c>
      <c r="P244">
        <v>2</v>
      </c>
      <c r="Q244" t="s">
        <v>85</v>
      </c>
    </row>
    <row r="245" customHeight="1" spans="1:17">
      <c r="A245" t="s">
        <v>578</v>
      </c>
      <c r="B245" t="s">
        <v>213</v>
      </c>
      <c r="C245" t="s">
        <v>109</v>
      </c>
      <c r="D245">
        <v>44</v>
      </c>
      <c r="E245" t="s">
        <v>152</v>
      </c>
      <c r="F245">
        <v>1</v>
      </c>
      <c r="G245" t="s">
        <v>83</v>
      </c>
      <c r="H245" s="23">
        <v>38189</v>
      </c>
      <c r="I245" s="23">
        <v>8459</v>
      </c>
      <c r="J245">
        <v>786</v>
      </c>
      <c r="K245" t="s">
        <v>119</v>
      </c>
      <c r="L245" s="23">
        <v>270000</v>
      </c>
      <c r="M245">
        <v>48</v>
      </c>
      <c r="N245">
        <v>11.99</v>
      </c>
      <c r="O245">
        <v>4</v>
      </c>
      <c r="P245">
        <v>3</v>
      </c>
      <c r="Q245" t="s">
        <v>85</v>
      </c>
    </row>
    <row r="246" customHeight="1" spans="1:17">
      <c r="A246" t="s">
        <v>579</v>
      </c>
      <c r="B246" t="s">
        <v>580</v>
      </c>
      <c r="C246" t="s">
        <v>81</v>
      </c>
      <c r="D246">
        <v>32</v>
      </c>
      <c r="E246" t="s">
        <v>214</v>
      </c>
      <c r="F246">
        <v>2</v>
      </c>
      <c r="G246" t="s">
        <v>89</v>
      </c>
      <c r="H246" s="23">
        <v>135838</v>
      </c>
      <c r="I246" s="23">
        <v>0</v>
      </c>
      <c r="J246">
        <v>721</v>
      </c>
      <c r="K246" t="s">
        <v>125</v>
      </c>
      <c r="L246" s="23">
        <v>2310000</v>
      </c>
      <c r="M246">
        <v>240</v>
      </c>
      <c r="N246">
        <v>8.22</v>
      </c>
      <c r="O246">
        <v>0</v>
      </c>
      <c r="P246">
        <v>2</v>
      </c>
      <c r="Q246" t="s">
        <v>85</v>
      </c>
    </row>
    <row r="247" customHeight="1" spans="1:17">
      <c r="A247" t="s">
        <v>581</v>
      </c>
      <c r="B247" t="s">
        <v>582</v>
      </c>
      <c r="C247" t="s">
        <v>109</v>
      </c>
      <c r="D247">
        <v>53</v>
      </c>
      <c r="E247" t="s">
        <v>152</v>
      </c>
      <c r="F247">
        <v>1</v>
      </c>
      <c r="G247" t="s">
        <v>116</v>
      </c>
      <c r="H247" s="23">
        <v>43412</v>
      </c>
      <c r="I247" s="23">
        <v>0</v>
      </c>
      <c r="J247">
        <v>736</v>
      </c>
      <c r="K247" t="s">
        <v>119</v>
      </c>
      <c r="L247" s="23">
        <v>760000</v>
      </c>
      <c r="M247">
        <v>48</v>
      </c>
      <c r="N247">
        <v>12.13</v>
      </c>
      <c r="O247">
        <v>2</v>
      </c>
      <c r="P247">
        <v>1</v>
      </c>
      <c r="Q247" t="s">
        <v>85</v>
      </c>
    </row>
    <row r="248" customHeight="1" spans="1:17">
      <c r="A248" t="s">
        <v>583</v>
      </c>
      <c r="B248" t="s">
        <v>584</v>
      </c>
      <c r="C248" t="s">
        <v>81</v>
      </c>
      <c r="D248">
        <v>37</v>
      </c>
      <c r="E248" t="s">
        <v>94</v>
      </c>
      <c r="F248">
        <v>1</v>
      </c>
      <c r="G248" t="s">
        <v>83</v>
      </c>
      <c r="H248" s="23">
        <v>56819</v>
      </c>
      <c r="I248" s="23">
        <v>0</v>
      </c>
      <c r="J248">
        <v>678</v>
      </c>
      <c r="K248" t="s">
        <v>90</v>
      </c>
      <c r="L248" s="23">
        <v>600000</v>
      </c>
      <c r="M248">
        <v>60</v>
      </c>
      <c r="N248">
        <v>10.37</v>
      </c>
      <c r="O248">
        <v>10</v>
      </c>
      <c r="P248">
        <v>0</v>
      </c>
      <c r="Q248" t="s">
        <v>85</v>
      </c>
    </row>
    <row r="249" customHeight="1" spans="1:17">
      <c r="A249" t="s">
        <v>585</v>
      </c>
      <c r="B249" t="s">
        <v>556</v>
      </c>
      <c r="C249" t="s">
        <v>109</v>
      </c>
      <c r="D249">
        <v>27</v>
      </c>
      <c r="E249" t="s">
        <v>98</v>
      </c>
      <c r="F249">
        <v>2</v>
      </c>
      <c r="G249" t="s">
        <v>83</v>
      </c>
      <c r="H249" s="23">
        <v>232399</v>
      </c>
      <c r="I249" s="23">
        <v>50184</v>
      </c>
      <c r="J249">
        <v>843</v>
      </c>
      <c r="K249" t="s">
        <v>84</v>
      </c>
      <c r="L249" s="23">
        <v>1060000</v>
      </c>
      <c r="M249">
        <v>84</v>
      </c>
      <c r="N249">
        <v>10.13</v>
      </c>
      <c r="O249">
        <v>5</v>
      </c>
      <c r="P249">
        <v>1</v>
      </c>
      <c r="Q249" t="s">
        <v>85</v>
      </c>
    </row>
    <row r="250" customHeight="1" spans="1:17">
      <c r="A250" t="s">
        <v>586</v>
      </c>
      <c r="B250" t="s">
        <v>587</v>
      </c>
      <c r="C250" t="s">
        <v>81</v>
      </c>
      <c r="D250">
        <v>47</v>
      </c>
      <c r="E250" t="s">
        <v>122</v>
      </c>
      <c r="F250">
        <v>2</v>
      </c>
      <c r="G250" t="s">
        <v>89</v>
      </c>
      <c r="H250" s="23">
        <v>24579</v>
      </c>
      <c r="I250" s="23">
        <v>0</v>
      </c>
      <c r="J250">
        <v>712</v>
      </c>
      <c r="K250" t="s">
        <v>125</v>
      </c>
      <c r="L250" s="23">
        <v>1380000</v>
      </c>
      <c r="M250">
        <v>240</v>
      </c>
      <c r="N250">
        <v>8.38</v>
      </c>
      <c r="O250">
        <v>3</v>
      </c>
      <c r="P250">
        <v>4</v>
      </c>
      <c r="Q250" t="s">
        <v>91</v>
      </c>
    </row>
    <row r="251" customHeight="1" spans="1:17">
      <c r="A251" t="s">
        <v>588</v>
      </c>
      <c r="B251" t="s">
        <v>589</v>
      </c>
      <c r="C251" t="s">
        <v>109</v>
      </c>
      <c r="D251">
        <v>44</v>
      </c>
      <c r="E251" t="s">
        <v>179</v>
      </c>
      <c r="F251">
        <v>2</v>
      </c>
      <c r="G251" t="s">
        <v>83</v>
      </c>
      <c r="H251" s="23">
        <v>60025</v>
      </c>
      <c r="I251" s="23">
        <v>11204</v>
      </c>
      <c r="J251">
        <v>733</v>
      </c>
      <c r="K251" t="s">
        <v>125</v>
      </c>
      <c r="L251" s="23">
        <v>2290000</v>
      </c>
      <c r="M251">
        <v>240</v>
      </c>
      <c r="N251">
        <v>9.62</v>
      </c>
      <c r="O251">
        <v>0</v>
      </c>
      <c r="P251">
        <v>2</v>
      </c>
      <c r="Q251" t="s">
        <v>85</v>
      </c>
    </row>
    <row r="252" customHeight="1" spans="1:17">
      <c r="A252" t="s">
        <v>590</v>
      </c>
      <c r="B252" t="s">
        <v>591</v>
      </c>
      <c r="C252" t="s">
        <v>81</v>
      </c>
      <c r="D252">
        <v>42</v>
      </c>
      <c r="E252" t="s">
        <v>138</v>
      </c>
      <c r="F252">
        <v>1</v>
      </c>
      <c r="G252" t="s">
        <v>89</v>
      </c>
      <c r="H252" s="23">
        <v>79116</v>
      </c>
      <c r="I252" s="23">
        <v>10752</v>
      </c>
      <c r="J252">
        <v>763</v>
      </c>
      <c r="K252" t="s">
        <v>95</v>
      </c>
      <c r="L252" s="23">
        <v>1680000</v>
      </c>
      <c r="M252">
        <v>60</v>
      </c>
      <c r="N252">
        <v>14.15</v>
      </c>
      <c r="O252">
        <v>2</v>
      </c>
      <c r="P252">
        <v>4</v>
      </c>
      <c r="Q252" t="s">
        <v>85</v>
      </c>
    </row>
    <row r="253" customHeight="1" spans="1:17">
      <c r="A253" t="s">
        <v>592</v>
      </c>
      <c r="B253" t="s">
        <v>593</v>
      </c>
      <c r="C253" t="s">
        <v>109</v>
      </c>
      <c r="D253">
        <v>32</v>
      </c>
      <c r="E253" t="s">
        <v>115</v>
      </c>
      <c r="F253">
        <v>2</v>
      </c>
      <c r="G253" t="s">
        <v>83</v>
      </c>
      <c r="H253" s="23">
        <v>25669</v>
      </c>
      <c r="I253" s="23">
        <v>6897</v>
      </c>
      <c r="J253">
        <v>794</v>
      </c>
      <c r="K253" t="s">
        <v>95</v>
      </c>
      <c r="L253" s="23">
        <v>580000</v>
      </c>
      <c r="M253">
        <v>60</v>
      </c>
      <c r="N253">
        <v>14.93</v>
      </c>
      <c r="O253">
        <v>2</v>
      </c>
      <c r="P253">
        <v>4</v>
      </c>
      <c r="Q253" t="s">
        <v>85</v>
      </c>
    </row>
    <row r="254" customHeight="1" spans="1:17">
      <c r="A254" t="s">
        <v>594</v>
      </c>
      <c r="B254" t="s">
        <v>466</v>
      </c>
      <c r="C254" t="s">
        <v>109</v>
      </c>
      <c r="D254">
        <v>49</v>
      </c>
      <c r="E254" t="s">
        <v>162</v>
      </c>
      <c r="F254">
        <v>1</v>
      </c>
      <c r="G254" t="s">
        <v>103</v>
      </c>
      <c r="H254" s="23">
        <v>49518</v>
      </c>
      <c r="I254" s="23">
        <v>13137</v>
      </c>
      <c r="J254">
        <v>654</v>
      </c>
      <c r="K254" t="s">
        <v>125</v>
      </c>
      <c r="L254" s="23">
        <v>2290000</v>
      </c>
      <c r="M254">
        <v>240</v>
      </c>
      <c r="N254">
        <v>9.03</v>
      </c>
      <c r="O254">
        <v>5</v>
      </c>
      <c r="P254">
        <v>0</v>
      </c>
      <c r="Q254" t="s">
        <v>85</v>
      </c>
    </row>
    <row r="255" customHeight="1" spans="1:17">
      <c r="A255" t="s">
        <v>595</v>
      </c>
      <c r="B255" t="s">
        <v>596</v>
      </c>
      <c r="C255" t="s">
        <v>109</v>
      </c>
      <c r="D255">
        <v>45</v>
      </c>
      <c r="E255" t="s">
        <v>82</v>
      </c>
      <c r="F255">
        <v>2</v>
      </c>
      <c r="G255" t="s">
        <v>116</v>
      </c>
      <c r="H255" s="23">
        <v>66003</v>
      </c>
      <c r="I255" s="23">
        <v>0</v>
      </c>
      <c r="J255">
        <v>751</v>
      </c>
      <c r="K255" t="s">
        <v>119</v>
      </c>
      <c r="L255" s="23">
        <v>240000</v>
      </c>
      <c r="M255">
        <v>48</v>
      </c>
      <c r="N255">
        <v>10.72</v>
      </c>
      <c r="O255">
        <v>3</v>
      </c>
      <c r="P255">
        <v>0</v>
      </c>
      <c r="Q255" t="s">
        <v>85</v>
      </c>
    </row>
    <row r="256" customHeight="1" spans="1:17">
      <c r="A256" t="s">
        <v>597</v>
      </c>
      <c r="B256" t="s">
        <v>598</v>
      </c>
      <c r="C256" t="s">
        <v>81</v>
      </c>
      <c r="D256">
        <v>37</v>
      </c>
      <c r="E256" t="s">
        <v>128</v>
      </c>
      <c r="F256">
        <v>2</v>
      </c>
      <c r="G256" t="s">
        <v>83</v>
      </c>
      <c r="H256" s="23">
        <v>48459</v>
      </c>
      <c r="I256" s="23">
        <v>13681</v>
      </c>
      <c r="J256">
        <v>666</v>
      </c>
      <c r="K256" t="s">
        <v>119</v>
      </c>
      <c r="L256" s="23">
        <v>660000</v>
      </c>
      <c r="M256">
        <v>48</v>
      </c>
      <c r="N256">
        <v>11.64</v>
      </c>
      <c r="O256">
        <v>1</v>
      </c>
      <c r="P256">
        <v>0</v>
      </c>
      <c r="Q256" t="s">
        <v>85</v>
      </c>
    </row>
    <row r="257" customHeight="1" spans="1:17">
      <c r="A257" t="s">
        <v>599</v>
      </c>
      <c r="B257" t="s">
        <v>600</v>
      </c>
      <c r="C257" t="s">
        <v>81</v>
      </c>
      <c r="D257">
        <v>21</v>
      </c>
      <c r="E257" t="s">
        <v>98</v>
      </c>
      <c r="F257">
        <v>2</v>
      </c>
      <c r="G257" t="s">
        <v>83</v>
      </c>
      <c r="H257" s="23">
        <v>88030</v>
      </c>
      <c r="I257" s="23">
        <v>4975</v>
      </c>
      <c r="J257">
        <v>712</v>
      </c>
      <c r="K257" t="s">
        <v>90</v>
      </c>
      <c r="L257" s="23">
        <v>330000</v>
      </c>
      <c r="M257">
        <v>60</v>
      </c>
      <c r="N257">
        <v>10.23</v>
      </c>
      <c r="O257">
        <v>8</v>
      </c>
      <c r="P257">
        <v>0</v>
      </c>
      <c r="Q257" t="s">
        <v>85</v>
      </c>
    </row>
    <row r="258" customHeight="1" spans="1:17">
      <c r="A258" t="s">
        <v>601</v>
      </c>
      <c r="B258" t="s">
        <v>330</v>
      </c>
      <c r="C258" t="s">
        <v>109</v>
      </c>
      <c r="D258">
        <v>35</v>
      </c>
      <c r="E258" t="s">
        <v>149</v>
      </c>
      <c r="F258">
        <v>1</v>
      </c>
      <c r="G258" t="s">
        <v>83</v>
      </c>
      <c r="H258" s="23">
        <v>75026</v>
      </c>
      <c r="I258" s="23">
        <v>14375</v>
      </c>
      <c r="J258">
        <v>659</v>
      </c>
      <c r="K258" t="s">
        <v>84</v>
      </c>
      <c r="L258" s="23">
        <v>830000</v>
      </c>
      <c r="M258">
        <v>84</v>
      </c>
      <c r="N258">
        <v>11.16</v>
      </c>
      <c r="O258">
        <v>4</v>
      </c>
      <c r="P258">
        <v>0</v>
      </c>
      <c r="Q258" t="s">
        <v>85</v>
      </c>
    </row>
    <row r="259" customHeight="1" spans="1:17">
      <c r="A259" t="s">
        <v>602</v>
      </c>
      <c r="B259" t="s">
        <v>603</v>
      </c>
      <c r="C259" t="s">
        <v>81</v>
      </c>
      <c r="D259">
        <v>41</v>
      </c>
      <c r="E259" t="s">
        <v>106</v>
      </c>
      <c r="F259">
        <v>2</v>
      </c>
      <c r="G259" t="s">
        <v>83</v>
      </c>
      <c r="H259" s="23">
        <v>41053</v>
      </c>
      <c r="I259" s="23">
        <v>0</v>
      </c>
      <c r="J259">
        <v>784</v>
      </c>
      <c r="K259" t="s">
        <v>90</v>
      </c>
      <c r="L259" s="23">
        <v>350000</v>
      </c>
      <c r="M259">
        <v>60</v>
      </c>
      <c r="N259">
        <v>10.03</v>
      </c>
      <c r="O259">
        <v>21</v>
      </c>
      <c r="P259">
        <v>0</v>
      </c>
      <c r="Q259" t="s">
        <v>85</v>
      </c>
    </row>
    <row r="260" customHeight="1" spans="1:17">
      <c r="A260" t="s">
        <v>604</v>
      </c>
      <c r="B260" t="s">
        <v>605</v>
      </c>
      <c r="C260" t="s">
        <v>109</v>
      </c>
      <c r="D260">
        <v>27</v>
      </c>
      <c r="E260" t="s">
        <v>157</v>
      </c>
      <c r="F260">
        <v>2</v>
      </c>
      <c r="G260" t="s">
        <v>103</v>
      </c>
      <c r="H260" s="23">
        <v>42927</v>
      </c>
      <c r="I260" s="23">
        <v>14996</v>
      </c>
      <c r="J260">
        <v>640</v>
      </c>
      <c r="K260" t="s">
        <v>90</v>
      </c>
      <c r="L260" s="23">
        <v>920000</v>
      </c>
      <c r="M260">
        <v>60</v>
      </c>
      <c r="N260">
        <v>9.43</v>
      </c>
      <c r="O260">
        <v>2</v>
      </c>
      <c r="P260">
        <v>3</v>
      </c>
      <c r="Q260" t="s">
        <v>85</v>
      </c>
    </row>
    <row r="261" customHeight="1" spans="1:17">
      <c r="A261" t="s">
        <v>606</v>
      </c>
      <c r="B261" t="s">
        <v>607</v>
      </c>
      <c r="C261" t="s">
        <v>109</v>
      </c>
      <c r="D261">
        <v>49</v>
      </c>
      <c r="E261" t="s">
        <v>169</v>
      </c>
      <c r="F261">
        <v>3</v>
      </c>
      <c r="G261" t="s">
        <v>83</v>
      </c>
      <c r="H261" s="23">
        <v>28490</v>
      </c>
      <c r="I261" s="23">
        <v>11358</v>
      </c>
      <c r="J261">
        <v>678</v>
      </c>
      <c r="K261" t="s">
        <v>90</v>
      </c>
      <c r="L261" s="23">
        <v>660000</v>
      </c>
      <c r="M261">
        <v>60</v>
      </c>
      <c r="N261">
        <v>9.45</v>
      </c>
      <c r="O261">
        <v>1</v>
      </c>
      <c r="P261">
        <v>0</v>
      </c>
      <c r="Q261" t="s">
        <v>85</v>
      </c>
    </row>
    <row r="262" customHeight="1" spans="1:17">
      <c r="A262" t="s">
        <v>608</v>
      </c>
      <c r="B262" t="s">
        <v>609</v>
      </c>
      <c r="C262" t="s">
        <v>81</v>
      </c>
      <c r="D262">
        <v>26</v>
      </c>
      <c r="E262" t="s">
        <v>106</v>
      </c>
      <c r="F262">
        <v>2</v>
      </c>
      <c r="G262" t="s">
        <v>83</v>
      </c>
      <c r="H262" s="23">
        <v>71266</v>
      </c>
      <c r="I262" s="23">
        <v>22488</v>
      </c>
      <c r="J262">
        <v>771</v>
      </c>
      <c r="K262" t="s">
        <v>125</v>
      </c>
      <c r="L262" s="23">
        <v>2920000</v>
      </c>
      <c r="M262">
        <v>240</v>
      </c>
      <c r="N262">
        <v>9.41</v>
      </c>
      <c r="O262">
        <v>1</v>
      </c>
      <c r="P262">
        <v>4</v>
      </c>
      <c r="Q262" t="s">
        <v>85</v>
      </c>
    </row>
    <row r="263" customHeight="1" spans="1:17">
      <c r="A263" t="s">
        <v>610</v>
      </c>
      <c r="B263" t="s">
        <v>611</v>
      </c>
      <c r="C263" t="s">
        <v>109</v>
      </c>
      <c r="D263">
        <v>38</v>
      </c>
      <c r="E263" t="s">
        <v>128</v>
      </c>
      <c r="F263">
        <v>2</v>
      </c>
      <c r="G263" t="s">
        <v>83</v>
      </c>
      <c r="H263" s="23">
        <v>46336</v>
      </c>
      <c r="I263" s="23">
        <v>0</v>
      </c>
      <c r="J263">
        <v>731</v>
      </c>
      <c r="K263" t="s">
        <v>90</v>
      </c>
      <c r="L263" s="23">
        <v>370000</v>
      </c>
      <c r="M263">
        <v>60</v>
      </c>
      <c r="N263">
        <v>10.27</v>
      </c>
      <c r="O263">
        <v>11</v>
      </c>
      <c r="P263">
        <v>0</v>
      </c>
      <c r="Q263" t="s">
        <v>85</v>
      </c>
    </row>
    <row r="264" customHeight="1" spans="1:17">
      <c r="A264" t="s">
        <v>612</v>
      </c>
      <c r="B264" t="s">
        <v>613</v>
      </c>
      <c r="C264" t="s">
        <v>109</v>
      </c>
      <c r="D264">
        <v>33</v>
      </c>
      <c r="E264" t="s">
        <v>152</v>
      </c>
      <c r="F264">
        <v>1</v>
      </c>
      <c r="G264" t="s">
        <v>116</v>
      </c>
      <c r="H264" s="23">
        <v>48455</v>
      </c>
      <c r="I264" s="23">
        <v>0</v>
      </c>
      <c r="J264">
        <v>716</v>
      </c>
      <c r="K264" t="s">
        <v>90</v>
      </c>
      <c r="L264" s="23">
        <v>480000</v>
      </c>
      <c r="M264">
        <v>60</v>
      </c>
      <c r="N264">
        <v>10.22</v>
      </c>
      <c r="O264">
        <v>3</v>
      </c>
      <c r="P264">
        <v>3</v>
      </c>
      <c r="Q264" t="s">
        <v>85</v>
      </c>
    </row>
    <row r="265" customHeight="1" spans="1:17">
      <c r="A265" t="s">
        <v>614</v>
      </c>
      <c r="B265" t="s">
        <v>615</v>
      </c>
      <c r="C265" t="s">
        <v>81</v>
      </c>
      <c r="D265">
        <v>37</v>
      </c>
      <c r="E265" t="s">
        <v>237</v>
      </c>
      <c r="F265">
        <v>1</v>
      </c>
      <c r="G265" t="s">
        <v>89</v>
      </c>
      <c r="H265" s="23">
        <v>116492</v>
      </c>
      <c r="I265" s="23">
        <v>23829</v>
      </c>
      <c r="J265">
        <v>764</v>
      </c>
      <c r="K265" t="s">
        <v>90</v>
      </c>
      <c r="L265" s="23">
        <v>940000</v>
      </c>
      <c r="M265">
        <v>60</v>
      </c>
      <c r="N265">
        <v>9.68</v>
      </c>
      <c r="O265">
        <v>1</v>
      </c>
      <c r="P265">
        <v>1</v>
      </c>
      <c r="Q265" t="s">
        <v>85</v>
      </c>
    </row>
    <row r="266" customHeight="1" spans="1:17">
      <c r="A266" t="s">
        <v>616</v>
      </c>
      <c r="B266" t="s">
        <v>617</v>
      </c>
      <c r="C266" t="s">
        <v>109</v>
      </c>
      <c r="D266">
        <v>42</v>
      </c>
      <c r="E266" t="s">
        <v>237</v>
      </c>
      <c r="F266">
        <v>1</v>
      </c>
      <c r="G266" t="s">
        <v>83</v>
      </c>
      <c r="H266" s="23">
        <v>130160</v>
      </c>
      <c r="I266" s="23">
        <v>16698</v>
      </c>
      <c r="J266">
        <v>699</v>
      </c>
      <c r="K266" t="s">
        <v>119</v>
      </c>
      <c r="L266" s="23">
        <v>460000</v>
      </c>
      <c r="M266">
        <v>48</v>
      </c>
      <c r="N266">
        <v>11.84</v>
      </c>
      <c r="O266">
        <v>2</v>
      </c>
      <c r="P266">
        <v>0</v>
      </c>
      <c r="Q266" t="s">
        <v>85</v>
      </c>
    </row>
    <row r="267" customHeight="1" spans="1:17">
      <c r="A267" t="s">
        <v>618</v>
      </c>
      <c r="B267" t="s">
        <v>619</v>
      </c>
      <c r="C267" t="s">
        <v>109</v>
      </c>
      <c r="D267">
        <v>43</v>
      </c>
      <c r="E267" t="s">
        <v>237</v>
      </c>
      <c r="F267">
        <v>1</v>
      </c>
      <c r="G267" t="s">
        <v>103</v>
      </c>
      <c r="H267" s="23">
        <v>58901</v>
      </c>
      <c r="I267" s="23">
        <v>0</v>
      </c>
      <c r="J267">
        <v>731</v>
      </c>
      <c r="K267" t="s">
        <v>95</v>
      </c>
      <c r="L267" s="23">
        <v>1020000</v>
      </c>
      <c r="M267">
        <v>60</v>
      </c>
      <c r="N267">
        <v>13.93</v>
      </c>
      <c r="O267">
        <v>4</v>
      </c>
      <c r="P267">
        <v>3</v>
      </c>
      <c r="Q267" t="s">
        <v>91</v>
      </c>
    </row>
    <row r="268" customHeight="1" spans="1:17">
      <c r="A268" t="s">
        <v>620</v>
      </c>
      <c r="B268" t="s">
        <v>621</v>
      </c>
      <c r="C268" t="s">
        <v>81</v>
      </c>
      <c r="D268">
        <v>57</v>
      </c>
      <c r="E268" t="s">
        <v>110</v>
      </c>
      <c r="F268">
        <v>1</v>
      </c>
      <c r="G268" t="s">
        <v>116</v>
      </c>
      <c r="H268" s="23">
        <v>38686</v>
      </c>
      <c r="I268" s="23">
        <v>13214</v>
      </c>
      <c r="J268">
        <v>655</v>
      </c>
      <c r="K268" t="s">
        <v>84</v>
      </c>
      <c r="L268" s="23">
        <v>1050000</v>
      </c>
      <c r="M268">
        <v>84</v>
      </c>
      <c r="N268">
        <v>11.58</v>
      </c>
      <c r="O268">
        <v>1</v>
      </c>
      <c r="P268">
        <v>2</v>
      </c>
      <c r="Q268" t="s">
        <v>91</v>
      </c>
    </row>
    <row r="269" customHeight="1" spans="1:17">
      <c r="A269" t="s">
        <v>622</v>
      </c>
      <c r="B269" t="s">
        <v>492</v>
      </c>
      <c r="C269" t="s">
        <v>81</v>
      </c>
      <c r="D269">
        <v>46</v>
      </c>
      <c r="E269" t="s">
        <v>214</v>
      </c>
      <c r="F269">
        <v>2</v>
      </c>
      <c r="G269" t="s">
        <v>89</v>
      </c>
      <c r="H269" s="23">
        <v>58763</v>
      </c>
      <c r="I269" s="23">
        <v>2752</v>
      </c>
      <c r="J269">
        <v>719</v>
      </c>
      <c r="K269" t="s">
        <v>84</v>
      </c>
      <c r="L269" s="23">
        <v>1380000</v>
      </c>
      <c r="M269">
        <v>84</v>
      </c>
      <c r="N269">
        <v>10.43</v>
      </c>
      <c r="O269">
        <v>0</v>
      </c>
      <c r="P269">
        <v>2</v>
      </c>
      <c r="Q269" t="s">
        <v>85</v>
      </c>
    </row>
    <row r="270" customHeight="1" spans="1:17">
      <c r="A270" t="s">
        <v>623</v>
      </c>
      <c r="B270" t="s">
        <v>624</v>
      </c>
      <c r="C270" t="s">
        <v>81</v>
      </c>
      <c r="D270">
        <v>40</v>
      </c>
      <c r="E270" t="s">
        <v>162</v>
      </c>
      <c r="F270">
        <v>1</v>
      </c>
      <c r="G270" t="s">
        <v>103</v>
      </c>
      <c r="H270" s="23">
        <v>42446</v>
      </c>
      <c r="I270" s="23">
        <v>9728</v>
      </c>
      <c r="J270">
        <v>604</v>
      </c>
      <c r="K270" t="s">
        <v>95</v>
      </c>
      <c r="L270" s="23">
        <v>760000</v>
      </c>
      <c r="M270">
        <v>60</v>
      </c>
      <c r="N270">
        <v>15.15</v>
      </c>
      <c r="O270">
        <v>1</v>
      </c>
      <c r="P270">
        <v>3</v>
      </c>
      <c r="Q270" t="s">
        <v>85</v>
      </c>
    </row>
    <row r="271" customHeight="1" spans="1:17">
      <c r="A271" t="s">
        <v>625</v>
      </c>
      <c r="B271" t="s">
        <v>626</v>
      </c>
      <c r="C271" t="s">
        <v>109</v>
      </c>
      <c r="D271">
        <v>30</v>
      </c>
      <c r="E271" t="s">
        <v>179</v>
      </c>
      <c r="F271">
        <v>2</v>
      </c>
      <c r="G271" t="s">
        <v>83</v>
      </c>
      <c r="H271" s="23">
        <v>32275</v>
      </c>
      <c r="I271" s="23">
        <v>7800</v>
      </c>
      <c r="J271">
        <v>665</v>
      </c>
      <c r="K271" t="s">
        <v>84</v>
      </c>
      <c r="L271" s="23">
        <v>1440000</v>
      </c>
      <c r="M271">
        <v>84</v>
      </c>
      <c r="N271">
        <v>11.38</v>
      </c>
      <c r="O271">
        <v>0</v>
      </c>
      <c r="P271">
        <v>1</v>
      </c>
      <c r="Q271" t="s">
        <v>85</v>
      </c>
    </row>
    <row r="272" customHeight="1" spans="1:17">
      <c r="A272" t="s">
        <v>627</v>
      </c>
      <c r="B272" t="s">
        <v>628</v>
      </c>
      <c r="C272" t="s">
        <v>109</v>
      </c>
      <c r="D272">
        <v>35</v>
      </c>
      <c r="E272" t="s">
        <v>94</v>
      </c>
      <c r="F272">
        <v>1</v>
      </c>
      <c r="G272" t="s">
        <v>83</v>
      </c>
      <c r="H272" s="23">
        <v>72644</v>
      </c>
      <c r="I272" s="23">
        <v>0</v>
      </c>
      <c r="J272">
        <v>681</v>
      </c>
      <c r="K272" t="s">
        <v>131</v>
      </c>
      <c r="L272" s="23">
        <v>430000</v>
      </c>
      <c r="M272">
        <v>36</v>
      </c>
      <c r="N272">
        <v>14.38</v>
      </c>
      <c r="O272">
        <v>8</v>
      </c>
      <c r="P272">
        <v>4</v>
      </c>
      <c r="Q272" t="s">
        <v>85</v>
      </c>
    </row>
    <row r="273" customHeight="1" spans="1:17">
      <c r="A273" t="s">
        <v>629</v>
      </c>
      <c r="B273" t="s">
        <v>630</v>
      </c>
      <c r="C273" t="s">
        <v>81</v>
      </c>
      <c r="D273">
        <v>38</v>
      </c>
      <c r="E273" t="s">
        <v>94</v>
      </c>
      <c r="F273">
        <v>1</v>
      </c>
      <c r="G273" t="s">
        <v>103</v>
      </c>
      <c r="H273" s="23">
        <v>29173</v>
      </c>
      <c r="I273" s="23">
        <v>2892</v>
      </c>
      <c r="J273">
        <v>719</v>
      </c>
      <c r="K273" t="s">
        <v>95</v>
      </c>
      <c r="L273" s="23">
        <v>1190000</v>
      </c>
      <c r="M273">
        <v>60</v>
      </c>
      <c r="N273">
        <v>14.01</v>
      </c>
      <c r="O273">
        <v>4</v>
      </c>
      <c r="P273">
        <v>3</v>
      </c>
      <c r="Q273" t="s">
        <v>85</v>
      </c>
    </row>
    <row r="274" customHeight="1" spans="1:17">
      <c r="A274" t="s">
        <v>631</v>
      </c>
      <c r="B274" t="s">
        <v>632</v>
      </c>
      <c r="C274" t="s">
        <v>81</v>
      </c>
      <c r="D274">
        <v>53</v>
      </c>
      <c r="E274" t="s">
        <v>110</v>
      </c>
      <c r="F274">
        <v>1</v>
      </c>
      <c r="G274" t="s">
        <v>83</v>
      </c>
      <c r="H274" s="23">
        <v>77644</v>
      </c>
      <c r="I274" s="23">
        <v>0</v>
      </c>
      <c r="J274">
        <v>640</v>
      </c>
      <c r="K274" t="s">
        <v>95</v>
      </c>
      <c r="L274" s="23">
        <v>610000</v>
      </c>
      <c r="M274">
        <v>60</v>
      </c>
      <c r="N274">
        <v>14.27</v>
      </c>
      <c r="O274">
        <v>6</v>
      </c>
      <c r="P274">
        <v>0</v>
      </c>
      <c r="Q274" t="s">
        <v>85</v>
      </c>
    </row>
    <row r="275" customHeight="1" spans="1:17">
      <c r="A275" t="s">
        <v>633</v>
      </c>
      <c r="B275" t="s">
        <v>634</v>
      </c>
      <c r="C275" t="s">
        <v>109</v>
      </c>
      <c r="D275">
        <v>58</v>
      </c>
      <c r="E275" t="s">
        <v>149</v>
      </c>
      <c r="F275">
        <v>1</v>
      </c>
      <c r="G275" t="s">
        <v>103</v>
      </c>
      <c r="H275" s="23">
        <v>95702</v>
      </c>
      <c r="I275" s="23">
        <v>0</v>
      </c>
      <c r="J275">
        <v>713</v>
      </c>
      <c r="K275" t="s">
        <v>90</v>
      </c>
      <c r="L275" s="23">
        <v>440000</v>
      </c>
      <c r="M275">
        <v>60</v>
      </c>
      <c r="N275">
        <v>10.24</v>
      </c>
      <c r="O275">
        <v>13</v>
      </c>
      <c r="P275">
        <v>4</v>
      </c>
      <c r="Q275" t="s">
        <v>85</v>
      </c>
    </row>
    <row r="276" customHeight="1" spans="1:17">
      <c r="A276" t="s">
        <v>635</v>
      </c>
      <c r="B276" t="s">
        <v>636</v>
      </c>
      <c r="C276" t="s">
        <v>109</v>
      </c>
      <c r="D276">
        <v>36</v>
      </c>
      <c r="E276" t="s">
        <v>88</v>
      </c>
      <c r="F276">
        <v>3</v>
      </c>
      <c r="G276" t="s">
        <v>116</v>
      </c>
      <c r="H276" s="23">
        <v>119932</v>
      </c>
      <c r="I276" s="23">
        <v>0</v>
      </c>
      <c r="J276">
        <v>635</v>
      </c>
      <c r="K276" t="s">
        <v>119</v>
      </c>
      <c r="L276" s="23">
        <v>750000</v>
      </c>
      <c r="M276">
        <v>48</v>
      </c>
      <c r="N276">
        <v>11.2</v>
      </c>
      <c r="O276">
        <v>12</v>
      </c>
      <c r="P276">
        <v>1</v>
      </c>
      <c r="Q276" t="s">
        <v>85</v>
      </c>
    </row>
    <row r="277" customHeight="1" spans="1:17">
      <c r="A277" t="s">
        <v>637</v>
      </c>
      <c r="B277" t="s">
        <v>638</v>
      </c>
      <c r="C277" t="s">
        <v>109</v>
      </c>
      <c r="D277">
        <v>32</v>
      </c>
      <c r="E277" t="s">
        <v>110</v>
      </c>
      <c r="F277">
        <v>1</v>
      </c>
      <c r="G277" t="s">
        <v>83</v>
      </c>
      <c r="H277" s="23">
        <v>48512</v>
      </c>
      <c r="I277" s="23">
        <v>14678</v>
      </c>
      <c r="J277">
        <v>612</v>
      </c>
      <c r="K277" t="s">
        <v>119</v>
      </c>
      <c r="L277" s="23">
        <v>520000</v>
      </c>
      <c r="M277">
        <v>48</v>
      </c>
      <c r="N277">
        <v>11.75</v>
      </c>
      <c r="O277">
        <v>3</v>
      </c>
      <c r="P277">
        <v>4</v>
      </c>
      <c r="Q277" t="s">
        <v>85</v>
      </c>
    </row>
    <row r="278" customHeight="1" spans="1:17">
      <c r="A278" t="s">
        <v>639</v>
      </c>
      <c r="B278" t="s">
        <v>640</v>
      </c>
      <c r="C278" t="s">
        <v>81</v>
      </c>
      <c r="D278">
        <v>38</v>
      </c>
      <c r="E278" t="s">
        <v>88</v>
      </c>
      <c r="F278">
        <v>3</v>
      </c>
      <c r="G278" t="s">
        <v>89</v>
      </c>
      <c r="H278" s="23">
        <v>44936</v>
      </c>
      <c r="I278" s="23">
        <v>0</v>
      </c>
      <c r="J278">
        <v>667</v>
      </c>
      <c r="K278" t="s">
        <v>131</v>
      </c>
      <c r="L278" s="23">
        <v>250000</v>
      </c>
      <c r="M278">
        <v>36</v>
      </c>
      <c r="N278">
        <v>13.14</v>
      </c>
      <c r="O278">
        <v>1</v>
      </c>
      <c r="P278">
        <v>2</v>
      </c>
      <c r="Q278" t="s">
        <v>85</v>
      </c>
    </row>
    <row r="279" customHeight="1" spans="1:17">
      <c r="A279" t="s">
        <v>641</v>
      </c>
      <c r="B279" t="s">
        <v>642</v>
      </c>
      <c r="C279" t="s">
        <v>109</v>
      </c>
      <c r="D279">
        <v>28</v>
      </c>
      <c r="E279" t="s">
        <v>122</v>
      </c>
      <c r="F279">
        <v>2</v>
      </c>
      <c r="G279" t="s">
        <v>83</v>
      </c>
      <c r="H279" s="23">
        <v>92159</v>
      </c>
      <c r="I279" s="23">
        <v>0</v>
      </c>
      <c r="J279">
        <v>763</v>
      </c>
      <c r="K279" t="s">
        <v>84</v>
      </c>
      <c r="L279" s="23">
        <v>990000</v>
      </c>
      <c r="M279">
        <v>84</v>
      </c>
      <c r="N279">
        <v>11.35</v>
      </c>
      <c r="O279">
        <v>0</v>
      </c>
      <c r="P279">
        <v>2</v>
      </c>
      <c r="Q279" t="s">
        <v>85</v>
      </c>
    </row>
    <row r="280" customHeight="1" spans="1:17">
      <c r="A280" t="s">
        <v>643</v>
      </c>
      <c r="B280" t="s">
        <v>294</v>
      </c>
      <c r="C280" t="s">
        <v>81</v>
      </c>
      <c r="D280">
        <v>34</v>
      </c>
      <c r="E280" t="s">
        <v>106</v>
      </c>
      <c r="F280">
        <v>2</v>
      </c>
      <c r="G280" t="s">
        <v>89</v>
      </c>
      <c r="H280" s="23">
        <v>63564</v>
      </c>
      <c r="I280" s="23">
        <v>26676</v>
      </c>
      <c r="J280">
        <v>750</v>
      </c>
      <c r="K280" t="s">
        <v>84</v>
      </c>
      <c r="L280" s="23">
        <v>490000</v>
      </c>
      <c r="M280">
        <v>84</v>
      </c>
      <c r="N280">
        <v>10.24</v>
      </c>
      <c r="O280">
        <v>3</v>
      </c>
      <c r="P280">
        <v>3</v>
      </c>
      <c r="Q280" t="s">
        <v>85</v>
      </c>
    </row>
    <row r="281" customHeight="1" spans="1:17">
      <c r="A281" t="s">
        <v>644</v>
      </c>
      <c r="B281" t="s">
        <v>645</v>
      </c>
      <c r="C281" t="s">
        <v>109</v>
      </c>
      <c r="D281">
        <v>30</v>
      </c>
      <c r="E281" t="s">
        <v>110</v>
      </c>
      <c r="F281">
        <v>1</v>
      </c>
      <c r="G281" t="s">
        <v>83</v>
      </c>
      <c r="H281" s="23">
        <v>51358</v>
      </c>
      <c r="I281" s="23">
        <v>9757</v>
      </c>
      <c r="J281">
        <v>759</v>
      </c>
      <c r="K281" t="s">
        <v>95</v>
      </c>
      <c r="L281" s="23">
        <v>1510000</v>
      </c>
      <c r="M281">
        <v>60</v>
      </c>
      <c r="N281">
        <v>13.89</v>
      </c>
      <c r="O281">
        <v>4</v>
      </c>
      <c r="P281">
        <v>2</v>
      </c>
      <c r="Q281" t="s">
        <v>85</v>
      </c>
    </row>
    <row r="282" customHeight="1" spans="1:17">
      <c r="A282" t="s">
        <v>646</v>
      </c>
      <c r="B282" t="s">
        <v>476</v>
      </c>
      <c r="C282" t="s">
        <v>109</v>
      </c>
      <c r="D282">
        <v>39</v>
      </c>
      <c r="E282" t="s">
        <v>115</v>
      </c>
      <c r="F282">
        <v>2</v>
      </c>
      <c r="G282" t="s">
        <v>103</v>
      </c>
      <c r="H282" s="23">
        <v>80084</v>
      </c>
      <c r="I282" s="23">
        <v>15957</v>
      </c>
      <c r="J282">
        <v>673</v>
      </c>
      <c r="K282" t="s">
        <v>90</v>
      </c>
      <c r="L282" s="23">
        <v>800000</v>
      </c>
      <c r="M282">
        <v>60</v>
      </c>
      <c r="N282">
        <v>9.9</v>
      </c>
      <c r="O282">
        <v>16</v>
      </c>
      <c r="P282">
        <v>2</v>
      </c>
      <c r="Q282" t="s">
        <v>85</v>
      </c>
    </row>
    <row r="283" customHeight="1" spans="1:17">
      <c r="A283" t="s">
        <v>647</v>
      </c>
      <c r="B283" t="s">
        <v>648</v>
      </c>
      <c r="C283" t="s">
        <v>81</v>
      </c>
      <c r="D283">
        <v>29</v>
      </c>
      <c r="E283" t="s">
        <v>162</v>
      </c>
      <c r="F283">
        <v>1</v>
      </c>
      <c r="G283" t="s">
        <v>89</v>
      </c>
      <c r="H283" s="23">
        <v>66619</v>
      </c>
      <c r="I283" s="23">
        <v>20446</v>
      </c>
      <c r="J283">
        <v>739</v>
      </c>
      <c r="K283" t="s">
        <v>90</v>
      </c>
      <c r="L283" s="23">
        <v>910000</v>
      </c>
      <c r="M283">
        <v>60</v>
      </c>
      <c r="N283">
        <v>10.43</v>
      </c>
      <c r="O283">
        <v>3</v>
      </c>
      <c r="P283">
        <v>1</v>
      </c>
      <c r="Q283" t="s">
        <v>85</v>
      </c>
    </row>
    <row r="284" customHeight="1" spans="1:17">
      <c r="A284" t="s">
        <v>649</v>
      </c>
      <c r="B284" t="s">
        <v>650</v>
      </c>
      <c r="C284" t="s">
        <v>109</v>
      </c>
      <c r="D284">
        <v>50</v>
      </c>
      <c r="E284" t="s">
        <v>128</v>
      </c>
      <c r="F284">
        <v>2</v>
      </c>
      <c r="G284" t="s">
        <v>103</v>
      </c>
      <c r="H284" s="23">
        <v>18659</v>
      </c>
      <c r="I284" s="23">
        <v>0</v>
      </c>
      <c r="J284">
        <v>681</v>
      </c>
      <c r="K284" t="s">
        <v>131</v>
      </c>
      <c r="L284" s="23">
        <v>420000</v>
      </c>
      <c r="M284">
        <v>36</v>
      </c>
      <c r="N284">
        <v>13.83</v>
      </c>
      <c r="O284">
        <v>2</v>
      </c>
      <c r="P284">
        <v>2</v>
      </c>
      <c r="Q284" t="s">
        <v>85</v>
      </c>
    </row>
    <row r="285" customHeight="1" spans="1:17">
      <c r="A285" t="s">
        <v>651</v>
      </c>
      <c r="B285" t="s">
        <v>652</v>
      </c>
      <c r="C285" t="s">
        <v>81</v>
      </c>
      <c r="D285">
        <v>40</v>
      </c>
      <c r="E285" t="s">
        <v>172</v>
      </c>
      <c r="F285">
        <v>2</v>
      </c>
      <c r="G285" t="s">
        <v>103</v>
      </c>
      <c r="H285" s="23">
        <v>87525</v>
      </c>
      <c r="I285" s="23">
        <v>11175</v>
      </c>
      <c r="J285">
        <v>702</v>
      </c>
      <c r="K285" t="s">
        <v>125</v>
      </c>
      <c r="L285" s="23">
        <v>3340000</v>
      </c>
      <c r="M285">
        <v>240</v>
      </c>
      <c r="N285">
        <v>9.26</v>
      </c>
      <c r="O285">
        <v>2</v>
      </c>
      <c r="P285">
        <v>4</v>
      </c>
      <c r="Q285" t="s">
        <v>85</v>
      </c>
    </row>
    <row r="286" customHeight="1" spans="1:17">
      <c r="A286" t="s">
        <v>653</v>
      </c>
      <c r="B286" t="s">
        <v>654</v>
      </c>
      <c r="C286" t="s">
        <v>109</v>
      </c>
      <c r="D286">
        <v>39</v>
      </c>
      <c r="E286" t="s">
        <v>162</v>
      </c>
      <c r="F286">
        <v>1</v>
      </c>
      <c r="G286" t="s">
        <v>89</v>
      </c>
      <c r="H286" s="23">
        <v>51289</v>
      </c>
      <c r="I286" s="23">
        <v>16818</v>
      </c>
      <c r="J286">
        <v>838</v>
      </c>
      <c r="K286" t="s">
        <v>125</v>
      </c>
      <c r="L286" s="23">
        <v>1910000</v>
      </c>
      <c r="M286">
        <v>240</v>
      </c>
      <c r="N286">
        <v>8.65</v>
      </c>
      <c r="O286">
        <v>9</v>
      </c>
      <c r="P286">
        <v>1</v>
      </c>
      <c r="Q286" t="s">
        <v>85</v>
      </c>
    </row>
    <row r="287" customHeight="1" spans="1:17">
      <c r="A287" t="s">
        <v>655</v>
      </c>
      <c r="B287" t="s">
        <v>656</v>
      </c>
      <c r="C287" t="s">
        <v>81</v>
      </c>
      <c r="D287">
        <v>47</v>
      </c>
      <c r="E287" t="s">
        <v>162</v>
      </c>
      <c r="F287">
        <v>1</v>
      </c>
      <c r="G287" t="s">
        <v>103</v>
      </c>
      <c r="H287" s="23">
        <v>53485</v>
      </c>
      <c r="I287" s="23">
        <v>3198</v>
      </c>
      <c r="J287">
        <v>763</v>
      </c>
      <c r="K287" t="s">
        <v>131</v>
      </c>
      <c r="L287" s="23">
        <v>450000</v>
      </c>
      <c r="M287">
        <v>36</v>
      </c>
      <c r="N287">
        <v>13.34</v>
      </c>
      <c r="O287">
        <v>1</v>
      </c>
      <c r="P287">
        <v>0</v>
      </c>
      <c r="Q287" t="s">
        <v>85</v>
      </c>
    </row>
    <row r="288" customHeight="1" spans="1:17">
      <c r="A288" t="s">
        <v>657</v>
      </c>
      <c r="B288" t="s">
        <v>442</v>
      </c>
      <c r="C288" t="s">
        <v>81</v>
      </c>
      <c r="D288">
        <v>21</v>
      </c>
      <c r="E288" t="s">
        <v>214</v>
      </c>
      <c r="F288">
        <v>2</v>
      </c>
      <c r="G288" t="s">
        <v>116</v>
      </c>
      <c r="H288" s="23">
        <v>78709</v>
      </c>
      <c r="I288" s="23">
        <v>13830</v>
      </c>
      <c r="J288">
        <v>760</v>
      </c>
      <c r="K288" t="s">
        <v>125</v>
      </c>
      <c r="L288" s="23">
        <v>4030000</v>
      </c>
      <c r="M288">
        <v>240</v>
      </c>
      <c r="N288">
        <v>8.83</v>
      </c>
      <c r="O288">
        <v>1</v>
      </c>
      <c r="P288">
        <v>2</v>
      </c>
      <c r="Q288" t="s">
        <v>85</v>
      </c>
    </row>
    <row r="289" customHeight="1" spans="1:17">
      <c r="A289" t="s">
        <v>658</v>
      </c>
      <c r="B289" t="s">
        <v>659</v>
      </c>
      <c r="C289" t="s">
        <v>109</v>
      </c>
      <c r="D289">
        <v>29</v>
      </c>
      <c r="E289" t="s">
        <v>152</v>
      </c>
      <c r="F289">
        <v>1</v>
      </c>
      <c r="G289" t="s">
        <v>83</v>
      </c>
      <c r="H289" s="23">
        <v>36886</v>
      </c>
      <c r="I289" s="23">
        <v>10085</v>
      </c>
      <c r="J289">
        <v>687</v>
      </c>
      <c r="K289" t="s">
        <v>119</v>
      </c>
      <c r="L289" s="23">
        <v>710000</v>
      </c>
      <c r="M289">
        <v>48</v>
      </c>
      <c r="N289">
        <v>10.61</v>
      </c>
      <c r="O289">
        <v>4</v>
      </c>
      <c r="P289">
        <v>0</v>
      </c>
      <c r="Q289" t="s">
        <v>91</v>
      </c>
    </row>
    <row r="290" customHeight="1" spans="1:17">
      <c r="A290" t="s">
        <v>660</v>
      </c>
      <c r="B290" t="s">
        <v>661</v>
      </c>
      <c r="C290" t="s">
        <v>109</v>
      </c>
      <c r="D290">
        <v>41</v>
      </c>
      <c r="E290" t="s">
        <v>94</v>
      </c>
      <c r="F290">
        <v>1</v>
      </c>
      <c r="G290" t="s">
        <v>116</v>
      </c>
      <c r="H290" s="23">
        <v>120096</v>
      </c>
      <c r="I290" s="23">
        <v>0</v>
      </c>
      <c r="J290">
        <v>754</v>
      </c>
      <c r="K290" t="s">
        <v>84</v>
      </c>
      <c r="L290" s="23">
        <v>1320000</v>
      </c>
      <c r="M290">
        <v>84</v>
      </c>
      <c r="N290">
        <v>10.15</v>
      </c>
      <c r="O290">
        <v>3</v>
      </c>
      <c r="P290">
        <v>0</v>
      </c>
      <c r="Q290" t="s">
        <v>85</v>
      </c>
    </row>
    <row r="291" customHeight="1" spans="1:17">
      <c r="A291" t="s">
        <v>662</v>
      </c>
      <c r="B291" t="s">
        <v>663</v>
      </c>
      <c r="C291" t="s">
        <v>109</v>
      </c>
      <c r="D291">
        <v>41</v>
      </c>
      <c r="E291" t="s">
        <v>82</v>
      </c>
      <c r="F291">
        <v>2</v>
      </c>
      <c r="G291" t="s">
        <v>83</v>
      </c>
      <c r="H291" s="23">
        <v>89818</v>
      </c>
      <c r="I291" s="23">
        <v>7069</v>
      </c>
      <c r="J291">
        <v>823</v>
      </c>
      <c r="K291" t="s">
        <v>90</v>
      </c>
      <c r="L291" s="23">
        <v>1060000</v>
      </c>
      <c r="M291">
        <v>60</v>
      </c>
      <c r="N291">
        <v>9.02</v>
      </c>
      <c r="O291">
        <v>4</v>
      </c>
      <c r="P291">
        <v>2</v>
      </c>
      <c r="Q291" t="s">
        <v>85</v>
      </c>
    </row>
    <row r="292" customHeight="1" spans="1:17">
      <c r="A292" t="s">
        <v>664</v>
      </c>
      <c r="B292" t="s">
        <v>665</v>
      </c>
      <c r="C292" t="s">
        <v>109</v>
      </c>
      <c r="D292">
        <v>45</v>
      </c>
      <c r="E292" t="s">
        <v>179</v>
      </c>
      <c r="F292">
        <v>2</v>
      </c>
      <c r="G292" t="s">
        <v>103</v>
      </c>
      <c r="H292" s="23">
        <v>73242</v>
      </c>
      <c r="I292" s="23">
        <v>27231</v>
      </c>
      <c r="J292">
        <v>771</v>
      </c>
      <c r="K292" t="s">
        <v>131</v>
      </c>
      <c r="L292" s="23">
        <v>310000</v>
      </c>
      <c r="M292">
        <v>36</v>
      </c>
      <c r="N292">
        <v>13.72</v>
      </c>
      <c r="O292">
        <v>0</v>
      </c>
      <c r="P292">
        <v>2</v>
      </c>
      <c r="Q292" t="s">
        <v>85</v>
      </c>
    </row>
    <row r="293" customHeight="1" spans="1:17">
      <c r="A293" t="s">
        <v>666</v>
      </c>
      <c r="B293" t="s">
        <v>582</v>
      </c>
      <c r="C293" t="s">
        <v>109</v>
      </c>
      <c r="D293">
        <v>52</v>
      </c>
      <c r="E293" t="s">
        <v>128</v>
      </c>
      <c r="F293">
        <v>2</v>
      </c>
      <c r="G293" t="s">
        <v>83</v>
      </c>
      <c r="H293" s="23">
        <v>65722</v>
      </c>
      <c r="I293" s="23">
        <v>9604</v>
      </c>
      <c r="J293">
        <v>808</v>
      </c>
      <c r="K293" t="s">
        <v>119</v>
      </c>
      <c r="L293" s="23">
        <v>700000</v>
      </c>
      <c r="M293">
        <v>48</v>
      </c>
      <c r="N293">
        <v>11.26</v>
      </c>
      <c r="O293">
        <v>9</v>
      </c>
      <c r="P293">
        <v>2</v>
      </c>
      <c r="Q293" t="s">
        <v>85</v>
      </c>
    </row>
    <row r="294" customHeight="1" spans="1:17">
      <c r="A294" t="s">
        <v>667</v>
      </c>
      <c r="B294" t="s">
        <v>668</v>
      </c>
      <c r="C294" t="s">
        <v>109</v>
      </c>
      <c r="D294">
        <v>44</v>
      </c>
      <c r="E294" t="s">
        <v>152</v>
      </c>
      <c r="F294">
        <v>1</v>
      </c>
      <c r="G294" t="s">
        <v>83</v>
      </c>
      <c r="H294" s="23">
        <v>82551</v>
      </c>
      <c r="I294" s="23">
        <v>26034</v>
      </c>
      <c r="J294">
        <v>697</v>
      </c>
      <c r="K294" t="s">
        <v>131</v>
      </c>
      <c r="L294" s="23">
        <v>360000</v>
      </c>
      <c r="M294">
        <v>36</v>
      </c>
      <c r="N294">
        <v>14.41</v>
      </c>
      <c r="O294">
        <v>2</v>
      </c>
      <c r="P294">
        <v>0</v>
      </c>
      <c r="Q294" t="s">
        <v>85</v>
      </c>
    </row>
    <row r="295" customHeight="1" spans="1:17">
      <c r="A295" t="s">
        <v>669</v>
      </c>
      <c r="B295" t="s">
        <v>670</v>
      </c>
      <c r="C295" t="s">
        <v>109</v>
      </c>
      <c r="D295">
        <v>37</v>
      </c>
      <c r="E295" t="s">
        <v>110</v>
      </c>
      <c r="F295">
        <v>1</v>
      </c>
      <c r="G295" t="s">
        <v>83</v>
      </c>
      <c r="H295" s="23">
        <v>41683</v>
      </c>
      <c r="I295" s="23">
        <v>16682</v>
      </c>
      <c r="J295">
        <v>707</v>
      </c>
      <c r="K295" t="s">
        <v>131</v>
      </c>
      <c r="L295" s="23">
        <v>470000</v>
      </c>
      <c r="M295">
        <v>36</v>
      </c>
      <c r="N295">
        <v>13.12</v>
      </c>
      <c r="O295">
        <v>9</v>
      </c>
      <c r="P295">
        <v>3</v>
      </c>
      <c r="Q295" t="s">
        <v>85</v>
      </c>
    </row>
    <row r="296" customHeight="1" spans="1:17">
      <c r="A296" t="s">
        <v>671</v>
      </c>
      <c r="B296" t="s">
        <v>672</v>
      </c>
      <c r="C296" t="s">
        <v>81</v>
      </c>
      <c r="D296">
        <v>37</v>
      </c>
      <c r="E296" t="s">
        <v>82</v>
      </c>
      <c r="F296">
        <v>2</v>
      </c>
      <c r="G296" t="s">
        <v>83</v>
      </c>
      <c r="H296" s="23">
        <v>80370</v>
      </c>
      <c r="I296" s="23">
        <v>12482</v>
      </c>
      <c r="J296">
        <v>793</v>
      </c>
      <c r="K296" t="s">
        <v>131</v>
      </c>
      <c r="L296" s="23">
        <v>280000</v>
      </c>
      <c r="M296">
        <v>36</v>
      </c>
      <c r="N296">
        <v>14.21</v>
      </c>
      <c r="O296">
        <v>6</v>
      </c>
      <c r="P296">
        <v>4</v>
      </c>
      <c r="Q296" t="s">
        <v>85</v>
      </c>
    </row>
    <row r="297" customHeight="1" spans="1:17">
      <c r="A297" t="s">
        <v>673</v>
      </c>
      <c r="B297" t="s">
        <v>674</v>
      </c>
      <c r="C297" t="s">
        <v>109</v>
      </c>
      <c r="D297">
        <v>29</v>
      </c>
      <c r="E297" t="s">
        <v>128</v>
      </c>
      <c r="F297">
        <v>2</v>
      </c>
      <c r="G297" t="s">
        <v>103</v>
      </c>
      <c r="H297" s="23">
        <v>40963</v>
      </c>
      <c r="I297" s="23">
        <v>0</v>
      </c>
      <c r="J297">
        <v>683</v>
      </c>
      <c r="K297" t="s">
        <v>119</v>
      </c>
      <c r="L297" s="23">
        <v>580000</v>
      </c>
      <c r="M297">
        <v>48</v>
      </c>
      <c r="N297">
        <v>11.28</v>
      </c>
      <c r="O297">
        <v>1</v>
      </c>
      <c r="P297">
        <v>1</v>
      </c>
      <c r="Q297" t="s">
        <v>85</v>
      </c>
    </row>
    <row r="298" customHeight="1" spans="1:17">
      <c r="A298" t="s">
        <v>675</v>
      </c>
      <c r="B298" t="s">
        <v>676</v>
      </c>
      <c r="C298" t="s">
        <v>109</v>
      </c>
      <c r="D298">
        <v>45</v>
      </c>
      <c r="E298" t="s">
        <v>138</v>
      </c>
      <c r="F298">
        <v>1</v>
      </c>
      <c r="G298" t="s">
        <v>89</v>
      </c>
      <c r="H298" s="23">
        <v>49018</v>
      </c>
      <c r="I298" s="23">
        <v>0</v>
      </c>
      <c r="J298">
        <v>802</v>
      </c>
      <c r="K298" t="s">
        <v>131</v>
      </c>
      <c r="L298" s="23">
        <v>440000</v>
      </c>
      <c r="M298">
        <v>36</v>
      </c>
      <c r="N298">
        <v>13.17</v>
      </c>
      <c r="O298">
        <v>2</v>
      </c>
      <c r="P298">
        <v>0</v>
      </c>
      <c r="Q298" t="s">
        <v>85</v>
      </c>
    </row>
    <row r="299" customHeight="1" spans="1:17">
      <c r="A299" t="s">
        <v>677</v>
      </c>
      <c r="B299" t="s">
        <v>678</v>
      </c>
      <c r="C299" t="s">
        <v>81</v>
      </c>
      <c r="D299">
        <v>43</v>
      </c>
      <c r="E299" t="s">
        <v>138</v>
      </c>
      <c r="F299">
        <v>1</v>
      </c>
      <c r="G299" t="s">
        <v>83</v>
      </c>
      <c r="H299" s="23">
        <v>106157</v>
      </c>
      <c r="I299" s="23">
        <v>23197</v>
      </c>
      <c r="J299">
        <v>714</v>
      </c>
      <c r="K299" t="s">
        <v>119</v>
      </c>
      <c r="L299" s="23">
        <v>540000</v>
      </c>
      <c r="M299">
        <v>48</v>
      </c>
      <c r="N299">
        <v>11.4</v>
      </c>
      <c r="O299">
        <v>4</v>
      </c>
      <c r="P299">
        <v>0</v>
      </c>
      <c r="Q299" t="s">
        <v>85</v>
      </c>
    </row>
    <row r="300" customHeight="1" spans="1:17">
      <c r="A300" t="s">
        <v>679</v>
      </c>
      <c r="B300" t="s">
        <v>680</v>
      </c>
      <c r="C300" t="s">
        <v>109</v>
      </c>
      <c r="D300">
        <v>38</v>
      </c>
      <c r="E300" t="s">
        <v>106</v>
      </c>
      <c r="F300">
        <v>2</v>
      </c>
      <c r="G300" t="s">
        <v>89</v>
      </c>
      <c r="H300" s="23">
        <v>28676</v>
      </c>
      <c r="I300" s="23">
        <v>2243</v>
      </c>
      <c r="J300">
        <v>731</v>
      </c>
      <c r="K300" t="s">
        <v>90</v>
      </c>
      <c r="L300" s="23">
        <v>630000</v>
      </c>
      <c r="M300">
        <v>60</v>
      </c>
      <c r="N300">
        <v>9.8</v>
      </c>
      <c r="O300">
        <v>0</v>
      </c>
      <c r="P300">
        <v>3</v>
      </c>
      <c r="Q300" t="s">
        <v>85</v>
      </c>
    </row>
    <row r="301" customHeight="1" spans="1:17">
      <c r="A301" t="s">
        <v>681</v>
      </c>
      <c r="B301" t="s">
        <v>682</v>
      </c>
      <c r="C301" t="s">
        <v>109</v>
      </c>
      <c r="D301">
        <v>56</v>
      </c>
      <c r="E301" t="s">
        <v>152</v>
      </c>
      <c r="F301">
        <v>1</v>
      </c>
      <c r="G301" t="s">
        <v>83</v>
      </c>
      <c r="H301" s="23">
        <v>98939</v>
      </c>
      <c r="I301" s="23">
        <v>0</v>
      </c>
      <c r="J301">
        <v>759</v>
      </c>
      <c r="K301" t="s">
        <v>84</v>
      </c>
      <c r="L301" s="23">
        <v>1300000</v>
      </c>
      <c r="M301">
        <v>84</v>
      </c>
      <c r="N301">
        <v>10.64</v>
      </c>
      <c r="O301">
        <v>0</v>
      </c>
      <c r="P301">
        <v>3</v>
      </c>
      <c r="Q301" t="s">
        <v>85</v>
      </c>
    </row>
    <row r="302" customHeight="1" spans="1:17">
      <c r="A302" t="s">
        <v>683</v>
      </c>
      <c r="B302" t="s">
        <v>684</v>
      </c>
      <c r="C302" t="s">
        <v>109</v>
      </c>
      <c r="D302">
        <v>39</v>
      </c>
      <c r="E302" t="s">
        <v>162</v>
      </c>
      <c r="F302">
        <v>1</v>
      </c>
      <c r="G302" t="s">
        <v>116</v>
      </c>
      <c r="H302" s="23">
        <v>93213</v>
      </c>
      <c r="I302" s="23">
        <v>0</v>
      </c>
      <c r="J302">
        <v>799</v>
      </c>
      <c r="K302" t="s">
        <v>125</v>
      </c>
      <c r="L302" s="23">
        <v>2420000</v>
      </c>
      <c r="M302">
        <v>240</v>
      </c>
      <c r="N302">
        <v>8.51</v>
      </c>
      <c r="O302">
        <v>4</v>
      </c>
      <c r="P302">
        <v>3</v>
      </c>
      <c r="Q302" t="s">
        <v>85</v>
      </c>
    </row>
    <row r="303" customHeight="1" spans="1:17">
      <c r="A303" t="s">
        <v>685</v>
      </c>
      <c r="B303" t="s">
        <v>686</v>
      </c>
      <c r="C303" t="s">
        <v>81</v>
      </c>
      <c r="D303">
        <v>29</v>
      </c>
      <c r="E303" t="s">
        <v>110</v>
      </c>
      <c r="F303">
        <v>1</v>
      </c>
      <c r="G303" t="s">
        <v>83</v>
      </c>
      <c r="H303" s="23">
        <v>40829</v>
      </c>
      <c r="I303" s="23">
        <v>9062</v>
      </c>
      <c r="J303">
        <v>769</v>
      </c>
      <c r="K303" t="s">
        <v>90</v>
      </c>
      <c r="L303" s="23">
        <v>1040000</v>
      </c>
      <c r="M303">
        <v>60</v>
      </c>
      <c r="N303">
        <v>9.43</v>
      </c>
      <c r="O303">
        <v>13</v>
      </c>
      <c r="P303">
        <v>4</v>
      </c>
      <c r="Q303" t="s">
        <v>85</v>
      </c>
    </row>
    <row r="304" customHeight="1" spans="1:17">
      <c r="A304" t="s">
        <v>687</v>
      </c>
      <c r="B304" t="s">
        <v>688</v>
      </c>
      <c r="C304" t="s">
        <v>81</v>
      </c>
      <c r="D304">
        <v>44</v>
      </c>
      <c r="E304" t="s">
        <v>214</v>
      </c>
      <c r="F304">
        <v>2</v>
      </c>
      <c r="G304" t="s">
        <v>89</v>
      </c>
      <c r="H304" s="23">
        <v>54722</v>
      </c>
      <c r="I304" s="23">
        <v>0</v>
      </c>
      <c r="J304">
        <v>775</v>
      </c>
      <c r="K304" t="s">
        <v>90</v>
      </c>
      <c r="L304" s="23">
        <v>750000</v>
      </c>
      <c r="M304">
        <v>60</v>
      </c>
      <c r="N304">
        <v>9.66</v>
      </c>
      <c r="O304">
        <v>2</v>
      </c>
      <c r="P304">
        <v>2</v>
      </c>
      <c r="Q304" t="s">
        <v>85</v>
      </c>
    </row>
    <row r="305" customHeight="1" spans="1:17">
      <c r="A305" t="s">
        <v>689</v>
      </c>
      <c r="B305" t="s">
        <v>690</v>
      </c>
      <c r="C305" t="s">
        <v>109</v>
      </c>
      <c r="D305">
        <v>29</v>
      </c>
      <c r="E305" t="s">
        <v>106</v>
      </c>
      <c r="F305">
        <v>2</v>
      </c>
      <c r="G305" t="s">
        <v>116</v>
      </c>
      <c r="H305" s="23">
        <v>48971</v>
      </c>
      <c r="I305" s="23">
        <v>9156</v>
      </c>
      <c r="J305">
        <v>764</v>
      </c>
      <c r="K305" t="s">
        <v>131</v>
      </c>
      <c r="L305" s="23">
        <v>210000</v>
      </c>
      <c r="M305">
        <v>36</v>
      </c>
      <c r="N305">
        <v>13.66</v>
      </c>
      <c r="O305">
        <v>4</v>
      </c>
      <c r="P305">
        <v>3</v>
      </c>
      <c r="Q305" t="s">
        <v>85</v>
      </c>
    </row>
    <row r="306" customHeight="1" spans="1:17">
      <c r="A306" t="s">
        <v>691</v>
      </c>
      <c r="B306" t="s">
        <v>692</v>
      </c>
      <c r="C306" t="s">
        <v>109</v>
      </c>
      <c r="D306">
        <v>43</v>
      </c>
      <c r="E306" t="s">
        <v>94</v>
      </c>
      <c r="F306">
        <v>1</v>
      </c>
      <c r="G306" t="s">
        <v>83</v>
      </c>
      <c r="H306" s="23">
        <v>36313</v>
      </c>
      <c r="I306" s="23">
        <v>0</v>
      </c>
      <c r="J306">
        <v>661</v>
      </c>
      <c r="K306" t="s">
        <v>125</v>
      </c>
      <c r="L306" s="23">
        <v>3080000</v>
      </c>
      <c r="M306">
        <v>240</v>
      </c>
      <c r="N306">
        <v>9.06</v>
      </c>
      <c r="O306">
        <v>4</v>
      </c>
      <c r="P306">
        <v>3</v>
      </c>
      <c r="Q306" t="s">
        <v>85</v>
      </c>
    </row>
    <row r="307" customHeight="1" spans="1:17">
      <c r="A307" t="s">
        <v>693</v>
      </c>
      <c r="B307" t="s">
        <v>224</v>
      </c>
      <c r="C307" t="s">
        <v>81</v>
      </c>
      <c r="D307">
        <v>29</v>
      </c>
      <c r="E307" t="s">
        <v>82</v>
      </c>
      <c r="F307">
        <v>2</v>
      </c>
      <c r="G307" t="s">
        <v>89</v>
      </c>
      <c r="H307" s="23">
        <v>75062</v>
      </c>
      <c r="I307" s="23">
        <v>0</v>
      </c>
      <c r="J307">
        <v>753</v>
      </c>
      <c r="K307" t="s">
        <v>84</v>
      </c>
      <c r="L307" s="23">
        <v>820000</v>
      </c>
      <c r="M307">
        <v>84</v>
      </c>
      <c r="N307">
        <v>10.94</v>
      </c>
      <c r="O307">
        <v>5</v>
      </c>
      <c r="P307">
        <v>4</v>
      </c>
      <c r="Q307" t="s">
        <v>85</v>
      </c>
    </row>
    <row r="308" customHeight="1" spans="1:17">
      <c r="A308" t="s">
        <v>694</v>
      </c>
      <c r="B308" t="s">
        <v>695</v>
      </c>
      <c r="C308" t="s">
        <v>109</v>
      </c>
      <c r="D308">
        <v>41</v>
      </c>
      <c r="E308" t="s">
        <v>94</v>
      </c>
      <c r="F308">
        <v>1</v>
      </c>
      <c r="G308" t="s">
        <v>83</v>
      </c>
      <c r="H308" s="23">
        <v>63194</v>
      </c>
      <c r="I308" s="23">
        <v>0</v>
      </c>
      <c r="J308">
        <v>671</v>
      </c>
      <c r="K308" t="s">
        <v>90</v>
      </c>
      <c r="L308" s="23">
        <v>1080000</v>
      </c>
      <c r="M308">
        <v>60</v>
      </c>
      <c r="N308">
        <v>10.54</v>
      </c>
      <c r="O308">
        <v>2</v>
      </c>
      <c r="P308">
        <v>1</v>
      </c>
      <c r="Q308" t="s">
        <v>85</v>
      </c>
    </row>
    <row r="309" customHeight="1" spans="1:17">
      <c r="A309" t="s">
        <v>696</v>
      </c>
      <c r="B309" t="s">
        <v>697</v>
      </c>
      <c r="C309" t="s">
        <v>81</v>
      </c>
      <c r="D309">
        <v>40</v>
      </c>
      <c r="E309" t="s">
        <v>94</v>
      </c>
      <c r="F309">
        <v>1</v>
      </c>
      <c r="G309" t="s">
        <v>89</v>
      </c>
      <c r="H309" s="23">
        <v>34785</v>
      </c>
      <c r="I309" s="23">
        <v>11554</v>
      </c>
      <c r="J309">
        <v>775</v>
      </c>
      <c r="K309" t="s">
        <v>95</v>
      </c>
      <c r="L309" s="23">
        <v>800000</v>
      </c>
      <c r="M309">
        <v>60</v>
      </c>
      <c r="N309">
        <v>13.78</v>
      </c>
      <c r="O309">
        <v>4</v>
      </c>
      <c r="P309">
        <v>0</v>
      </c>
      <c r="Q309" t="s">
        <v>85</v>
      </c>
    </row>
    <row r="310" customHeight="1" spans="1:17">
      <c r="A310" t="s">
        <v>698</v>
      </c>
      <c r="B310" t="s">
        <v>699</v>
      </c>
      <c r="C310" t="s">
        <v>81</v>
      </c>
      <c r="D310">
        <v>41</v>
      </c>
      <c r="E310" t="s">
        <v>237</v>
      </c>
      <c r="F310">
        <v>1</v>
      </c>
      <c r="G310" t="s">
        <v>89</v>
      </c>
      <c r="H310" s="23">
        <v>42583</v>
      </c>
      <c r="I310" s="23">
        <v>9232</v>
      </c>
      <c r="J310">
        <v>707</v>
      </c>
      <c r="K310" t="s">
        <v>119</v>
      </c>
      <c r="L310" s="23">
        <v>310000</v>
      </c>
      <c r="M310">
        <v>48</v>
      </c>
      <c r="N310">
        <v>11.99</v>
      </c>
      <c r="O310">
        <v>11</v>
      </c>
      <c r="P310">
        <v>1</v>
      </c>
      <c r="Q310" t="s">
        <v>85</v>
      </c>
    </row>
    <row r="311" customHeight="1" spans="1:17">
      <c r="A311" t="s">
        <v>700</v>
      </c>
      <c r="B311" t="s">
        <v>701</v>
      </c>
      <c r="C311" t="s">
        <v>81</v>
      </c>
      <c r="D311">
        <v>39</v>
      </c>
      <c r="E311" t="s">
        <v>237</v>
      </c>
      <c r="F311">
        <v>1</v>
      </c>
      <c r="G311" t="s">
        <v>89</v>
      </c>
      <c r="H311" s="23">
        <v>109589</v>
      </c>
      <c r="I311" s="23">
        <v>0</v>
      </c>
      <c r="J311">
        <v>735</v>
      </c>
      <c r="K311" t="s">
        <v>119</v>
      </c>
      <c r="L311" s="23">
        <v>500000</v>
      </c>
      <c r="M311">
        <v>48</v>
      </c>
      <c r="N311">
        <v>10.84</v>
      </c>
      <c r="O311">
        <v>0</v>
      </c>
      <c r="P311">
        <v>1</v>
      </c>
      <c r="Q311" t="s">
        <v>85</v>
      </c>
    </row>
    <row r="312" customHeight="1" spans="1:17">
      <c r="A312" t="s">
        <v>702</v>
      </c>
      <c r="B312" t="s">
        <v>703</v>
      </c>
      <c r="C312" t="s">
        <v>81</v>
      </c>
      <c r="D312">
        <v>32</v>
      </c>
      <c r="E312" t="s">
        <v>237</v>
      </c>
      <c r="F312">
        <v>1</v>
      </c>
      <c r="G312" t="s">
        <v>83</v>
      </c>
      <c r="H312" s="23">
        <v>130566</v>
      </c>
      <c r="I312" s="23">
        <v>31221</v>
      </c>
      <c r="J312">
        <v>705</v>
      </c>
      <c r="K312" t="s">
        <v>84</v>
      </c>
      <c r="L312" s="23">
        <v>650000</v>
      </c>
      <c r="M312">
        <v>84</v>
      </c>
      <c r="N312">
        <v>10.57</v>
      </c>
      <c r="O312">
        <v>10</v>
      </c>
      <c r="P312">
        <v>1</v>
      </c>
      <c r="Q312" t="s">
        <v>85</v>
      </c>
    </row>
    <row r="313" customHeight="1" spans="1:17">
      <c r="A313" t="s">
        <v>704</v>
      </c>
      <c r="B313" t="s">
        <v>705</v>
      </c>
      <c r="C313" t="s">
        <v>109</v>
      </c>
      <c r="D313">
        <v>29</v>
      </c>
      <c r="E313" t="s">
        <v>98</v>
      </c>
      <c r="F313">
        <v>2</v>
      </c>
      <c r="G313" t="s">
        <v>103</v>
      </c>
      <c r="H313" s="23">
        <v>125587</v>
      </c>
      <c r="I313" s="23">
        <v>0</v>
      </c>
      <c r="J313">
        <v>764</v>
      </c>
      <c r="K313" t="s">
        <v>84</v>
      </c>
      <c r="L313" s="23">
        <v>750000</v>
      </c>
      <c r="M313">
        <v>84</v>
      </c>
      <c r="N313">
        <v>10.91</v>
      </c>
      <c r="O313">
        <v>3</v>
      </c>
      <c r="P313">
        <v>1</v>
      </c>
      <c r="Q313" t="s">
        <v>85</v>
      </c>
    </row>
    <row r="314" customHeight="1" spans="1:17">
      <c r="A314" t="s">
        <v>706</v>
      </c>
      <c r="B314" t="s">
        <v>517</v>
      </c>
      <c r="C314" t="s">
        <v>81</v>
      </c>
      <c r="D314">
        <v>37</v>
      </c>
      <c r="E314" t="s">
        <v>94</v>
      </c>
      <c r="F314">
        <v>1</v>
      </c>
      <c r="G314" t="s">
        <v>83</v>
      </c>
      <c r="H314" s="23">
        <v>56085</v>
      </c>
      <c r="I314" s="23">
        <v>0</v>
      </c>
      <c r="J314">
        <v>736</v>
      </c>
      <c r="K314" t="s">
        <v>84</v>
      </c>
      <c r="L314" s="23">
        <v>290000</v>
      </c>
      <c r="M314">
        <v>84</v>
      </c>
      <c r="N314">
        <v>11.5</v>
      </c>
      <c r="O314">
        <v>1</v>
      </c>
      <c r="P314">
        <v>3</v>
      </c>
      <c r="Q314" t="s">
        <v>85</v>
      </c>
    </row>
    <row r="315" customHeight="1" spans="1:17">
      <c r="A315" t="s">
        <v>707</v>
      </c>
      <c r="B315" t="s">
        <v>708</v>
      </c>
      <c r="C315" t="s">
        <v>81</v>
      </c>
      <c r="D315">
        <v>44</v>
      </c>
      <c r="E315" t="s">
        <v>138</v>
      </c>
      <c r="F315">
        <v>1</v>
      </c>
      <c r="G315" t="s">
        <v>116</v>
      </c>
      <c r="H315" s="23">
        <v>67619</v>
      </c>
      <c r="I315" s="23">
        <v>0</v>
      </c>
      <c r="J315">
        <v>687</v>
      </c>
      <c r="K315" t="s">
        <v>90</v>
      </c>
      <c r="L315" s="23">
        <v>500000</v>
      </c>
      <c r="M315">
        <v>60</v>
      </c>
      <c r="N315">
        <v>9.39</v>
      </c>
      <c r="O315">
        <v>4</v>
      </c>
      <c r="P315">
        <v>2</v>
      </c>
      <c r="Q315" t="s">
        <v>85</v>
      </c>
    </row>
    <row r="316" customHeight="1" spans="1:17">
      <c r="A316" t="s">
        <v>709</v>
      </c>
      <c r="B316" t="s">
        <v>710</v>
      </c>
      <c r="C316" t="s">
        <v>109</v>
      </c>
      <c r="D316">
        <v>52</v>
      </c>
      <c r="E316" t="s">
        <v>98</v>
      </c>
      <c r="F316">
        <v>2</v>
      </c>
      <c r="G316" t="s">
        <v>83</v>
      </c>
      <c r="H316" s="23">
        <v>54595</v>
      </c>
      <c r="I316" s="23">
        <v>16043</v>
      </c>
      <c r="J316">
        <v>615</v>
      </c>
      <c r="K316" t="s">
        <v>119</v>
      </c>
      <c r="L316" s="23">
        <v>680000</v>
      </c>
      <c r="M316">
        <v>48</v>
      </c>
      <c r="N316">
        <v>11.11</v>
      </c>
      <c r="O316">
        <v>12</v>
      </c>
      <c r="P316">
        <v>3</v>
      </c>
      <c r="Q316" t="s">
        <v>91</v>
      </c>
    </row>
    <row r="317" customHeight="1" spans="1:17">
      <c r="A317" t="s">
        <v>711</v>
      </c>
      <c r="B317" t="s">
        <v>712</v>
      </c>
      <c r="C317" t="s">
        <v>109</v>
      </c>
      <c r="D317">
        <v>23</v>
      </c>
      <c r="E317" t="s">
        <v>182</v>
      </c>
      <c r="F317">
        <v>1</v>
      </c>
      <c r="G317" t="s">
        <v>83</v>
      </c>
      <c r="H317" s="23">
        <v>24192</v>
      </c>
      <c r="I317" s="23">
        <v>0</v>
      </c>
      <c r="J317">
        <v>830</v>
      </c>
      <c r="K317" t="s">
        <v>131</v>
      </c>
      <c r="L317" s="23">
        <v>330000</v>
      </c>
      <c r="M317">
        <v>36</v>
      </c>
      <c r="N317">
        <v>13.29</v>
      </c>
      <c r="O317">
        <v>1</v>
      </c>
      <c r="P317">
        <v>2</v>
      </c>
      <c r="Q317" t="s">
        <v>85</v>
      </c>
    </row>
    <row r="318" customHeight="1" spans="1:17">
      <c r="A318" t="s">
        <v>713</v>
      </c>
      <c r="B318" t="s">
        <v>714</v>
      </c>
      <c r="C318" t="s">
        <v>81</v>
      </c>
      <c r="D318">
        <v>46</v>
      </c>
      <c r="E318" t="s">
        <v>152</v>
      </c>
      <c r="F318">
        <v>1</v>
      </c>
      <c r="G318" t="s">
        <v>83</v>
      </c>
      <c r="H318" s="23">
        <v>55509</v>
      </c>
      <c r="I318" s="23">
        <v>0</v>
      </c>
      <c r="J318">
        <v>609</v>
      </c>
      <c r="K318" t="s">
        <v>90</v>
      </c>
      <c r="L318" s="23">
        <v>1110000</v>
      </c>
      <c r="M318">
        <v>60</v>
      </c>
      <c r="N318">
        <v>9.74</v>
      </c>
      <c r="O318">
        <v>3</v>
      </c>
      <c r="P318">
        <v>2</v>
      </c>
      <c r="Q318" t="s">
        <v>85</v>
      </c>
    </row>
    <row r="319" customHeight="1" spans="1:17">
      <c r="A319" t="s">
        <v>715</v>
      </c>
      <c r="B319" t="s">
        <v>716</v>
      </c>
      <c r="C319" t="s">
        <v>81</v>
      </c>
      <c r="D319">
        <v>34</v>
      </c>
      <c r="E319" t="s">
        <v>172</v>
      </c>
      <c r="F319">
        <v>2</v>
      </c>
      <c r="G319" t="s">
        <v>103</v>
      </c>
      <c r="H319" s="23">
        <v>53055</v>
      </c>
      <c r="I319" s="23">
        <v>8905</v>
      </c>
      <c r="J319">
        <v>786</v>
      </c>
      <c r="K319" t="s">
        <v>131</v>
      </c>
      <c r="L319" s="23">
        <v>190000</v>
      </c>
      <c r="M319">
        <v>36</v>
      </c>
      <c r="N319">
        <v>14.59</v>
      </c>
      <c r="O319">
        <v>11</v>
      </c>
      <c r="P319">
        <v>0</v>
      </c>
      <c r="Q319" t="s">
        <v>85</v>
      </c>
    </row>
    <row r="320" customHeight="1" spans="1:17">
      <c r="A320" t="s">
        <v>717</v>
      </c>
      <c r="B320" t="s">
        <v>448</v>
      </c>
      <c r="C320" t="s">
        <v>109</v>
      </c>
      <c r="D320">
        <v>31</v>
      </c>
      <c r="E320" t="s">
        <v>82</v>
      </c>
      <c r="F320">
        <v>2</v>
      </c>
      <c r="G320" t="s">
        <v>83</v>
      </c>
      <c r="H320" s="23">
        <v>79530</v>
      </c>
      <c r="I320" s="23">
        <v>0</v>
      </c>
      <c r="J320">
        <v>810</v>
      </c>
      <c r="K320" t="s">
        <v>95</v>
      </c>
      <c r="L320" s="23">
        <v>1260000</v>
      </c>
      <c r="M320">
        <v>60</v>
      </c>
      <c r="N320">
        <v>15</v>
      </c>
      <c r="O320">
        <v>2</v>
      </c>
      <c r="P320">
        <v>1</v>
      </c>
      <c r="Q320" t="s">
        <v>85</v>
      </c>
    </row>
    <row r="321" customHeight="1" spans="1:17">
      <c r="A321" t="s">
        <v>718</v>
      </c>
      <c r="B321" t="s">
        <v>719</v>
      </c>
      <c r="C321" t="s">
        <v>109</v>
      </c>
      <c r="D321">
        <v>55</v>
      </c>
      <c r="E321" t="s">
        <v>172</v>
      </c>
      <c r="F321">
        <v>2</v>
      </c>
      <c r="G321" t="s">
        <v>83</v>
      </c>
      <c r="H321" s="23">
        <v>41583</v>
      </c>
      <c r="I321" s="23">
        <v>8459</v>
      </c>
      <c r="J321">
        <v>800</v>
      </c>
      <c r="K321" t="s">
        <v>84</v>
      </c>
      <c r="L321" s="23">
        <v>1070000</v>
      </c>
      <c r="M321">
        <v>84</v>
      </c>
      <c r="N321">
        <v>10.27</v>
      </c>
      <c r="O321">
        <v>2</v>
      </c>
      <c r="P321">
        <v>0</v>
      </c>
      <c r="Q321" t="s">
        <v>85</v>
      </c>
    </row>
    <row r="322" customHeight="1" spans="1:17">
      <c r="A322" t="s">
        <v>720</v>
      </c>
      <c r="B322" t="s">
        <v>721</v>
      </c>
      <c r="C322" t="s">
        <v>81</v>
      </c>
      <c r="D322">
        <v>52</v>
      </c>
      <c r="E322" t="s">
        <v>214</v>
      </c>
      <c r="F322">
        <v>2</v>
      </c>
      <c r="G322" t="s">
        <v>83</v>
      </c>
      <c r="H322" s="23">
        <v>109565</v>
      </c>
      <c r="I322" s="23">
        <v>5386</v>
      </c>
      <c r="J322">
        <v>652</v>
      </c>
      <c r="K322" t="s">
        <v>84</v>
      </c>
      <c r="L322" s="23">
        <v>860000</v>
      </c>
      <c r="M322">
        <v>84</v>
      </c>
      <c r="N322">
        <v>11.47</v>
      </c>
      <c r="O322">
        <v>1</v>
      </c>
      <c r="P322">
        <v>4</v>
      </c>
      <c r="Q322" t="s">
        <v>85</v>
      </c>
    </row>
    <row r="323" customHeight="1" spans="1:17">
      <c r="A323" t="s">
        <v>722</v>
      </c>
      <c r="B323" t="s">
        <v>712</v>
      </c>
      <c r="C323" t="s">
        <v>109</v>
      </c>
      <c r="D323">
        <v>26</v>
      </c>
      <c r="E323" t="s">
        <v>110</v>
      </c>
      <c r="F323">
        <v>1</v>
      </c>
      <c r="G323" t="s">
        <v>83</v>
      </c>
      <c r="H323" s="23">
        <v>106163</v>
      </c>
      <c r="I323" s="23">
        <v>44276</v>
      </c>
      <c r="J323">
        <v>740</v>
      </c>
      <c r="K323" t="s">
        <v>119</v>
      </c>
      <c r="L323" s="23">
        <v>280000</v>
      </c>
      <c r="M323">
        <v>48</v>
      </c>
      <c r="N323">
        <v>11.68</v>
      </c>
      <c r="O323">
        <v>6</v>
      </c>
      <c r="P323">
        <v>0</v>
      </c>
      <c r="Q323" t="s">
        <v>85</v>
      </c>
    </row>
    <row r="324" customHeight="1" spans="1:17">
      <c r="A324" t="s">
        <v>723</v>
      </c>
      <c r="B324" t="s">
        <v>724</v>
      </c>
      <c r="C324" t="s">
        <v>81</v>
      </c>
      <c r="D324">
        <v>30</v>
      </c>
      <c r="E324" t="s">
        <v>128</v>
      </c>
      <c r="F324">
        <v>2</v>
      </c>
      <c r="G324" t="s">
        <v>83</v>
      </c>
      <c r="H324" s="23">
        <v>30502</v>
      </c>
      <c r="I324" s="23">
        <v>0</v>
      </c>
      <c r="J324">
        <v>640</v>
      </c>
      <c r="K324" t="s">
        <v>131</v>
      </c>
      <c r="L324" s="23">
        <v>430000</v>
      </c>
      <c r="M324">
        <v>36</v>
      </c>
      <c r="N324">
        <v>14.08</v>
      </c>
      <c r="O324">
        <v>4</v>
      </c>
      <c r="P324">
        <v>3</v>
      </c>
      <c r="Q324" t="s">
        <v>85</v>
      </c>
    </row>
    <row r="325" customHeight="1" spans="1:17">
      <c r="A325" t="s">
        <v>725</v>
      </c>
      <c r="B325" t="s">
        <v>726</v>
      </c>
      <c r="C325" t="s">
        <v>109</v>
      </c>
      <c r="D325">
        <v>40</v>
      </c>
      <c r="E325" t="s">
        <v>149</v>
      </c>
      <c r="F325">
        <v>1</v>
      </c>
      <c r="G325" t="s">
        <v>83</v>
      </c>
      <c r="H325" s="23">
        <v>58433</v>
      </c>
      <c r="I325" s="23">
        <v>4281</v>
      </c>
      <c r="J325">
        <v>657</v>
      </c>
      <c r="K325" t="s">
        <v>84</v>
      </c>
      <c r="L325" s="23">
        <v>1410000</v>
      </c>
      <c r="M325">
        <v>84</v>
      </c>
      <c r="N325">
        <v>10.4</v>
      </c>
      <c r="O325">
        <v>4</v>
      </c>
      <c r="P325">
        <v>3</v>
      </c>
      <c r="Q325" t="s">
        <v>85</v>
      </c>
    </row>
    <row r="326" customHeight="1" spans="1:17">
      <c r="A326" t="s">
        <v>727</v>
      </c>
      <c r="B326" t="s">
        <v>728</v>
      </c>
      <c r="C326" t="s">
        <v>109</v>
      </c>
      <c r="D326">
        <v>28</v>
      </c>
      <c r="E326" t="s">
        <v>162</v>
      </c>
      <c r="F326">
        <v>1</v>
      </c>
      <c r="G326" t="s">
        <v>83</v>
      </c>
      <c r="H326" s="23">
        <v>65886</v>
      </c>
      <c r="I326" s="23">
        <v>7784</v>
      </c>
      <c r="J326">
        <v>697</v>
      </c>
      <c r="K326" t="s">
        <v>84</v>
      </c>
      <c r="L326" s="23">
        <v>280000</v>
      </c>
      <c r="M326">
        <v>84</v>
      </c>
      <c r="N326">
        <v>10.65</v>
      </c>
      <c r="O326">
        <v>4</v>
      </c>
      <c r="P326">
        <v>2</v>
      </c>
      <c r="Q326" t="s">
        <v>85</v>
      </c>
    </row>
    <row r="327" customHeight="1" spans="1:17">
      <c r="A327" t="s">
        <v>729</v>
      </c>
      <c r="B327" t="s">
        <v>730</v>
      </c>
      <c r="C327" t="s">
        <v>109</v>
      </c>
      <c r="D327">
        <v>37</v>
      </c>
      <c r="E327" t="s">
        <v>94</v>
      </c>
      <c r="F327">
        <v>1</v>
      </c>
      <c r="G327" t="s">
        <v>103</v>
      </c>
      <c r="H327" s="23">
        <v>30932</v>
      </c>
      <c r="I327" s="23">
        <v>6530</v>
      </c>
      <c r="J327">
        <v>666</v>
      </c>
      <c r="K327" t="s">
        <v>119</v>
      </c>
      <c r="L327" s="23">
        <v>170000</v>
      </c>
      <c r="M327">
        <v>48</v>
      </c>
      <c r="N327">
        <v>11.85</v>
      </c>
      <c r="O327">
        <v>5</v>
      </c>
      <c r="P327">
        <v>3</v>
      </c>
      <c r="Q327" t="s">
        <v>85</v>
      </c>
    </row>
    <row r="328" customHeight="1" spans="1:17">
      <c r="A328" t="s">
        <v>731</v>
      </c>
      <c r="B328" t="s">
        <v>732</v>
      </c>
      <c r="C328" t="s">
        <v>109</v>
      </c>
      <c r="D328">
        <v>37</v>
      </c>
      <c r="E328" t="s">
        <v>237</v>
      </c>
      <c r="F328">
        <v>1</v>
      </c>
      <c r="G328" t="s">
        <v>83</v>
      </c>
      <c r="H328" s="23">
        <v>39497</v>
      </c>
      <c r="I328" s="23">
        <v>7182</v>
      </c>
      <c r="J328">
        <v>775</v>
      </c>
      <c r="K328" t="s">
        <v>131</v>
      </c>
      <c r="L328" s="23">
        <v>380000</v>
      </c>
      <c r="M328">
        <v>36</v>
      </c>
      <c r="N328">
        <v>13.24</v>
      </c>
      <c r="O328">
        <v>2</v>
      </c>
      <c r="P328">
        <v>4</v>
      </c>
      <c r="Q328" t="s">
        <v>85</v>
      </c>
    </row>
    <row r="329" customHeight="1" spans="1:17">
      <c r="A329" t="s">
        <v>733</v>
      </c>
      <c r="B329" t="s">
        <v>734</v>
      </c>
      <c r="C329" t="s">
        <v>109</v>
      </c>
      <c r="D329">
        <v>51</v>
      </c>
      <c r="E329" t="s">
        <v>115</v>
      </c>
      <c r="F329">
        <v>2</v>
      </c>
      <c r="G329" t="s">
        <v>83</v>
      </c>
      <c r="H329" s="23">
        <v>46953</v>
      </c>
      <c r="I329" s="23">
        <v>0</v>
      </c>
      <c r="J329">
        <v>703</v>
      </c>
      <c r="K329" t="s">
        <v>131</v>
      </c>
      <c r="L329" s="23">
        <v>330000</v>
      </c>
      <c r="M329">
        <v>36</v>
      </c>
      <c r="N329">
        <v>13.15</v>
      </c>
      <c r="O329">
        <v>5</v>
      </c>
      <c r="P329">
        <v>1</v>
      </c>
      <c r="Q329" t="s">
        <v>85</v>
      </c>
    </row>
    <row r="330" customHeight="1" spans="1:17">
      <c r="A330" t="s">
        <v>735</v>
      </c>
      <c r="B330" t="s">
        <v>736</v>
      </c>
      <c r="C330" t="s">
        <v>109</v>
      </c>
      <c r="D330">
        <v>29</v>
      </c>
      <c r="E330" t="s">
        <v>106</v>
      </c>
      <c r="F330">
        <v>2</v>
      </c>
      <c r="G330" t="s">
        <v>83</v>
      </c>
      <c r="H330" s="23">
        <v>111188</v>
      </c>
      <c r="I330" s="23">
        <v>13030</v>
      </c>
      <c r="J330">
        <v>754</v>
      </c>
      <c r="K330" t="s">
        <v>84</v>
      </c>
      <c r="L330" s="23">
        <v>1180000</v>
      </c>
      <c r="M330">
        <v>84</v>
      </c>
      <c r="N330">
        <v>10.71</v>
      </c>
      <c r="O330">
        <v>8</v>
      </c>
      <c r="P330">
        <v>1</v>
      </c>
      <c r="Q330" t="s">
        <v>85</v>
      </c>
    </row>
    <row r="331" customHeight="1" spans="1:17">
      <c r="A331" t="s">
        <v>737</v>
      </c>
      <c r="B331" t="s">
        <v>738</v>
      </c>
      <c r="C331" t="s">
        <v>109</v>
      </c>
      <c r="D331">
        <v>44</v>
      </c>
      <c r="E331" t="s">
        <v>169</v>
      </c>
      <c r="F331">
        <v>3</v>
      </c>
      <c r="G331" t="s">
        <v>116</v>
      </c>
      <c r="H331" s="23">
        <v>83968</v>
      </c>
      <c r="I331" s="23">
        <v>0</v>
      </c>
      <c r="J331">
        <v>789</v>
      </c>
      <c r="K331" t="s">
        <v>119</v>
      </c>
      <c r="L331" s="23">
        <v>340000</v>
      </c>
      <c r="M331">
        <v>48</v>
      </c>
      <c r="N331">
        <v>11.52</v>
      </c>
      <c r="O331">
        <v>1</v>
      </c>
      <c r="P331">
        <v>0</v>
      </c>
      <c r="Q331" t="s">
        <v>85</v>
      </c>
    </row>
    <row r="332" customHeight="1" spans="1:17">
      <c r="A332" t="s">
        <v>739</v>
      </c>
      <c r="B332" t="s">
        <v>740</v>
      </c>
      <c r="C332" t="s">
        <v>109</v>
      </c>
      <c r="D332">
        <v>26</v>
      </c>
      <c r="E332" t="s">
        <v>214</v>
      </c>
      <c r="F332">
        <v>2</v>
      </c>
      <c r="G332" t="s">
        <v>89</v>
      </c>
      <c r="H332" s="23">
        <v>99666</v>
      </c>
      <c r="I332" s="23">
        <v>0</v>
      </c>
      <c r="J332">
        <v>847</v>
      </c>
      <c r="K332" t="s">
        <v>95</v>
      </c>
      <c r="L332" s="23">
        <v>1920000</v>
      </c>
      <c r="M332">
        <v>60</v>
      </c>
      <c r="N332">
        <v>14.15</v>
      </c>
      <c r="O332">
        <v>4</v>
      </c>
      <c r="P332">
        <v>2</v>
      </c>
      <c r="Q332" t="s">
        <v>85</v>
      </c>
    </row>
    <row r="333" customHeight="1" spans="1:17">
      <c r="A333" t="s">
        <v>741</v>
      </c>
      <c r="B333" t="s">
        <v>742</v>
      </c>
      <c r="C333" t="s">
        <v>109</v>
      </c>
      <c r="D333">
        <v>34</v>
      </c>
      <c r="E333" t="s">
        <v>179</v>
      </c>
      <c r="F333">
        <v>2</v>
      </c>
      <c r="G333" t="s">
        <v>103</v>
      </c>
      <c r="H333" s="23">
        <v>49756</v>
      </c>
      <c r="I333" s="23">
        <v>0</v>
      </c>
      <c r="J333">
        <v>799</v>
      </c>
      <c r="K333" t="s">
        <v>95</v>
      </c>
      <c r="L333" s="23">
        <v>1260000</v>
      </c>
      <c r="M333">
        <v>60</v>
      </c>
      <c r="N333">
        <v>13.68</v>
      </c>
      <c r="O333">
        <v>12</v>
      </c>
      <c r="P333">
        <v>4</v>
      </c>
      <c r="Q333" t="s">
        <v>85</v>
      </c>
    </row>
    <row r="334" customHeight="1" spans="1:17">
      <c r="A334" t="s">
        <v>743</v>
      </c>
      <c r="B334" t="s">
        <v>744</v>
      </c>
      <c r="C334" t="s">
        <v>81</v>
      </c>
      <c r="D334">
        <v>44</v>
      </c>
      <c r="E334" t="s">
        <v>128</v>
      </c>
      <c r="F334">
        <v>2</v>
      </c>
      <c r="G334" t="s">
        <v>116</v>
      </c>
      <c r="H334" s="23">
        <v>62092</v>
      </c>
      <c r="I334" s="23">
        <v>3070</v>
      </c>
      <c r="J334">
        <v>753</v>
      </c>
      <c r="K334" t="s">
        <v>125</v>
      </c>
      <c r="L334" s="23">
        <v>3800000</v>
      </c>
      <c r="M334">
        <v>240</v>
      </c>
      <c r="N334">
        <v>8.68</v>
      </c>
      <c r="O334">
        <v>1</v>
      </c>
      <c r="P334">
        <v>1</v>
      </c>
      <c r="Q334" t="s">
        <v>85</v>
      </c>
    </row>
    <row r="335" customHeight="1" spans="1:17">
      <c r="A335" t="s">
        <v>745</v>
      </c>
      <c r="B335" t="s">
        <v>746</v>
      </c>
      <c r="C335" t="s">
        <v>81</v>
      </c>
      <c r="D335">
        <v>37</v>
      </c>
      <c r="E335" t="s">
        <v>152</v>
      </c>
      <c r="F335">
        <v>1</v>
      </c>
      <c r="G335" t="s">
        <v>116</v>
      </c>
      <c r="H335" s="23">
        <v>47135</v>
      </c>
      <c r="I335" s="23">
        <v>0</v>
      </c>
      <c r="J335">
        <v>686</v>
      </c>
      <c r="K335" t="s">
        <v>90</v>
      </c>
      <c r="L335" s="23">
        <v>410000</v>
      </c>
      <c r="M335">
        <v>60</v>
      </c>
      <c r="N335">
        <v>10.59</v>
      </c>
      <c r="O335">
        <v>0</v>
      </c>
      <c r="P335">
        <v>4</v>
      </c>
      <c r="Q335" t="s">
        <v>85</v>
      </c>
    </row>
    <row r="336" customHeight="1" spans="1:17">
      <c r="A336" t="s">
        <v>747</v>
      </c>
      <c r="B336" t="s">
        <v>748</v>
      </c>
      <c r="C336" t="s">
        <v>81</v>
      </c>
      <c r="D336">
        <v>37</v>
      </c>
      <c r="E336" t="s">
        <v>94</v>
      </c>
      <c r="F336">
        <v>1</v>
      </c>
      <c r="G336" t="s">
        <v>103</v>
      </c>
      <c r="H336" s="23">
        <v>23807</v>
      </c>
      <c r="I336" s="23">
        <v>7358</v>
      </c>
      <c r="J336">
        <v>643</v>
      </c>
      <c r="K336" t="s">
        <v>84</v>
      </c>
      <c r="L336" s="23">
        <v>1190000</v>
      </c>
      <c r="M336">
        <v>84</v>
      </c>
      <c r="N336">
        <v>11.13</v>
      </c>
      <c r="O336">
        <v>5</v>
      </c>
      <c r="P336">
        <v>4</v>
      </c>
      <c r="Q336" t="s">
        <v>91</v>
      </c>
    </row>
    <row r="337" customHeight="1" spans="1:17">
      <c r="A337" t="s">
        <v>749</v>
      </c>
      <c r="B337" t="s">
        <v>440</v>
      </c>
      <c r="C337" t="s">
        <v>81</v>
      </c>
      <c r="D337">
        <v>40</v>
      </c>
      <c r="E337" t="s">
        <v>110</v>
      </c>
      <c r="F337">
        <v>1</v>
      </c>
      <c r="G337" t="s">
        <v>83</v>
      </c>
      <c r="H337" s="23">
        <v>28934</v>
      </c>
      <c r="I337" s="23">
        <v>4071</v>
      </c>
      <c r="J337">
        <v>772</v>
      </c>
      <c r="K337" t="s">
        <v>131</v>
      </c>
      <c r="L337" s="23">
        <v>180000</v>
      </c>
      <c r="M337">
        <v>36</v>
      </c>
      <c r="N337">
        <v>13.97</v>
      </c>
      <c r="O337">
        <v>1</v>
      </c>
      <c r="P337">
        <v>0</v>
      </c>
      <c r="Q337" t="s">
        <v>85</v>
      </c>
    </row>
    <row r="338" customHeight="1" spans="1:17">
      <c r="A338" t="s">
        <v>750</v>
      </c>
      <c r="B338" t="s">
        <v>751</v>
      </c>
      <c r="C338" t="s">
        <v>81</v>
      </c>
      <c r="D338">
        <v>41</v>
      </c>
      <c r="E338" t="s">
        <v>88</v>
      </c>
      <c r="F338">
        <v>3</v>
      </c>
      <c r="G338" t="s">
        <v>89</v>
      </c>
      <c r="H338" s="23">
        <v>92842</v>
      </c>
      <c r="I338" s="23">
        <v>0</v>
      </c>
      <c r="J338">
        <v>630</v>
      </c>
      <c r="K338" t="s">
        <v>95</v>
      </c>
      <c r="L338" s="23">
        <v>540000</v>
      </c>
      <c r="M338">
        <v>60</v>
      </c>
      <c r="N338">
        <v>14.26</v>
      </c>
      <c r="O338">
        <v>3</v>
      </c>
      <c r="P338">
        <v>2</v>
      </c>
      <c r="Q338" t="s">
        <v>85</v>
      </c>
    </row>
    <row r="339" customHeight="1" spans="1:17">
      <c r="A339" t="s">
        <v>752</v>
      </c>
      <c r="B339" t="s">
        <v>753</v>
      </c>
      <c r="C339" t="s">
        <v>81</v>
      </c>
      <c r="D339">
        <v>30</v>
      </c>
      <c r="E339" t="s">
        <v>179</v>
      </c>
      <c r="F339">
        <v>2</v>
      </c>
      <c r="G339" t="s">
        <v>83</v>
      </c>
      <c r="H339" s="23">
        <v>91058</v>
      </c>
      <c r="I339" s="23">
        <v>0</v>
      </c>
      <c r="J339">
        <v>670</v>
      </c>
      <c r="K339" t="s">
        <v>84</v>
      </c>
      <c r="L339" s="23">
        <v>570000</v>
      </c>
      <c r="M339">
        <v>84</v>
      </c>
      <c r="N339">
        <v>11.48</v>
      </c>
      <c r="O339">
        <v>1</v>
      </c>
      <c r="P339">
        <v>4</v>
      </c>
      <c r="Q339" t="s">
        <v>85</v>
      </c>
    </row>
    <row r="340" customHeight="1" spans="1:17">
      <c r="A340" t="s">
        <v>754</v>
      </c>
      <c r="B340" t="s">
        <v>755</v>
      </c>
      <c r="C340" t="s">
        <v>81</v>
      </c>
      <c r="D340">
        <v>28</v>
      </c>
      <c r="E340" t="s">
        <v>152</v>
      </c>
      <c r="F340">
        <v>1</v>
      </c>
      <c r="G340" t="s">
        <v>116</v>
      </c>
      <c r="H340" s="23">
        <v>27589</v>
      </c>
      <c r="I340" s="23">
        <v>10264</v>
      </c>
      <c r="J340">
        <v>788</v>
      </c>
      <c r="K340" t="s">
        <v>84</v>
      </c>
      <c r="L340" s="23">
        <v>1260000</v>
      </c>
      <c r="M340">
        <v>84</v>
      </c>
      <c r="N340">
        <v>11.47</v>
      </c>
      <c r="O340">
        <v>2</v>
      </c>
      <c r="P340">
        <v>1</v>
      </c>
      <c r="Q340" t="s">
        <v>85</v>
      </c>
    </row>
    <row r="341" customHeight="1" spans="1:17">
      <c r="A341" t="s">
        <v>756</v>
      </c>
      <c r="B341" t="s">
        <v>757</v>
      </c>
      <c r="C341" t="s">
        <v>109</v>
      </c>
      <c r="D341">
        <v>21</v>
      </c>
      <c r="E341" t="s">
        <v>88</v>
      </c>
      <c r="F341">
        <v>3</v>
      </c>
      <c r="G341" t="s">
        <v>83</v>
      </c>
      <c r="H341" s="23">
        <v>36966</v>
      </c>
      <c r="I341" s="23">
        <v>3723</v>
      </c>
      <c r="J341">
        <v>603</v>
      </c>
      <c r="K341" t="s">
        <v>125</v>
      </c>
      <c r="L341" s="23">
        <v>5140000</v>
      </c>
      <c r="M341">
        <v>240</v>
      </c>
      <c r="N341">
        <v>8.59</v>
      </c>
      <c r="O341">
        <v>1</v>
      </c>
      <c r="P341">
        <v>2</v>
      </c>
      <c r="Q341" t="s">
        <v>91</v>
      </c>
    </row>
    <row r="342" customHeight="1" spans="1:17">
      <c r="A342" t="s">
        <v>758</v>
      </c>
      <c r="B342" t="s">
        <v>672</v>
      </c>
      <c r="C342" t="s">
        <v>81</v>
      </c>
      <c r="D342">
        <v>37</v>
      </c>
      <c r="E342" t="s">
        <v>138</v>
      </c>
      <c r="F342">
        <v>1</v>
      </c>
      <c r="G342" t="s">
        <v>116</v>
      </c>
      <c r="H342" s="23">
        <v>38388</v>
      </c>
      <c r="I342" s="23">
        <v>0</v>
      </c>
      <c r="J342">
        <v>667</v>
      </c>
      <c r="K342" t="s">
        <v>131</v>
      </c>
      <c r="L342" s="23">
        <v>110000</v>
      </c>
      <c r="M342">
        <v>36</v>
      </c>
      <c r="N342">
        <v>14.41</v>
      </c>
      <c r="O342">
        <v>1</v>
      </c>
      <c r="P342">
        <v>0</v>
      </c>
      <c r="Q342" t="s">
        <v>85</v>
      </c>
    </row>
    <row r="343" customHeight="1" spans="1:17">
      <c r="A343" t="s">
        <v>759</v>
      </c>
      <c r="B343" t="s">
        <v>102</v>
      </c>
      <c r="C343" t="s">
        <v>81</v>
      </c>
      <c r="D343">
        <v>46</v>
      </c>
      <c r="E343" t="s">
        <v>110</v>
      </c>
      <c r="F343">
        <v>1</v>
      </c>
      <c r="G343" t="s">
        <v>83</v>
      </c>
      <c r="H343" s="23">
        <v>118100</v>
      </c>
      <c r="I343" s="23">
        <v>0</v>
      </c>
      <c r="J343">
        <v>628</v>
      </c>
      <c r="K343" t="s">
        <v>90</v>
      </c>
      <c r="L343" s="23">
        <v>240000</v>
      </c>
      <c r="M343">
        <v>60</v>
      </c>
      <c r="N343">
        <v>10.42</v>
      </c>
      <c r="O343">
        <v>1</v>
      </c>
      <c r="P343">
        <v>0</v>
      </c>
      <c r="Q343" t="s">
        <v>85</v>
      </c>
    </row>
    <row r="344" customHeight="1" spans="1:17">
      <c r="A344" t="s">
        <v>760</v>
      </c>
      <c r="B344" t="s">
        <v>761</v>
      </c>
      <c r="C344" t="s">
        <v>81</v>
      </c>
      <c r="D344">
        <v>40</v>
      </c>
      <c r="E344" t="s">
        <v>88</v>
      </c>
      <c r="F344">
        <v>3</v>
      </c>
      <c r="G344" t="s">
        <v>103</v>
      </c>
      <c r="H344" s="23">
        <v>133387</v>
      </c>
      <c r="I344" s="23">
        <v>40792</v>
      </c>
      <c r="J344">
        <v>736</v>
      </c>
      <c r="K344" t="s">
        <v>90</v>
      </c>
      <c r="L344" s="23">
        <v>740000</v>
      </c>
      <c r="M344">
        <v>60</v>
      </c>
      <c r="N344">
        <v>9.25</v>
      </c>
      <c r="O344">
        <v>0</v>
      </c>
      <c r="P344">
        <v>3</v>
      </c>
      <c r="Q344" t="s">
        <v>85</v>
      </c>
    </row>
    <row r="345" customHeight="1" spans="1:17">
      <c r="A345" t="s">
        <v>762</v>
      </c>
      <c r="B345" t="s">
        <v>763</v>
      </c>
      <c r="C345" t="s">
        <v>109</v>
      </c>
      <c r="D345">
        <v>21</v>
      </c>
      <c r="E345" t="s">
        <v>106</v>
      </c>
      <c r="F345">
        <v>2</v>
      </c>
      <c r="G345" t="s">
        <v>83</v>
      </c>
      <c r="H345" s="23">
        <v>45555</v>
      </c>
      <c r="I345" s="23">
        <v>5998</v>
      </c>
      <c r="J345">
        <v>774</v>
      </c>
      <c r="K345" t="s">
        <v>131</v>
      </c>
      <c r="L345" s="23">
        <v>420000</v>
      </c>
      <c r="M345">
        <v>36</v>
      </c>
      <c r="N345">
        <v>13.54</v>
      </c>
      <c r="O345">
        <v>3</v>
      </c>
      <c r="P345">
        <v>3</v>
      </c>
      <c r="Q345" t="s">
        <v>85</v>
      </c>
    </row>
    <row r="346" customHeight="1" spans="1:17">
      <c r="A346" t="s">
        <v>764</v>
      </c>
      <c r="B346" t="s">
        <v>765</v>
      </c>
      <c r="C346" t="s">
        <v>81</v>
      </c>
      <c r="D346">
        <v>31</v>
      </c>
      <c r="E346" t="s">
        <v>179</v>
      </c>
      <c r="F346">
        <v>2</v>
      </c>
      <c r="G346" t="s">
        <v>89</v>
      </c>
      <c r="H346" s="23">
        <v>93803</v>
      </c>
      <c r="I346" s="23">
        <v>16418</v>
      </c>
      <c r="J346">
        <v>705</v>
      </c>
      <c r="K346" t="s">
        <v>119</v>
      </c>
      <c r="L346" s="23">
        <v>260000</v>
      </c>
      <c r="M346">
        <v>48</v>
      </c>
      <c r="N346">
        <v>11.41</v>
      </c>
      <c r="O346">
        <v>11</v>
      </c>
      <c r="P346">
        <v>2</v>
      </c>
      <c r="Q346" t="s">
        <v>85</v>
      </c>
    </row>
    <row r="347" customHeight="1" spans="1:17">
      <c r="A347" t="s">
        <v>766</v>
      </c>
      <c r="B347" t="s">
        <v>767</v>
      </c>
      <c r="C347" t="s">
        <v>109</v>
      </c>
      <c r="D347">
        <v>50</v>
      </c>
      <c r="E347" t="s">
        <v>157</v>
      </c>
      <c r="F347">
        <v>2</v>
      </c>
      <c r="G347" t="s">
        <v>83</v>
      </c>
      <c r="H347" s="23">
        <v>64433</v>
      </c>
      <c r="I347" s="23">
        <v>0</v>
      </c>
      <c r="J347">
        <v>794</v>
      </c>
      <c r="K347" t="s">
        <v>90</v>
      </c>
      <c r="L347" s="23">
        <v>500000</v>
      </c>
      <c r="M347">
        <v>60</v>
      </c>
      <c r="N347">
        <v>9.13</v>
      </c>
      <c r="O347">
        <v>4</v>
      </c>
      <c r="P347">
        <v>3</v>
      </c>
      <c r="Q347" t="s">
        <v>85</v>
      </c>
    </row>
    <row r="348" customHeight="1" spans="1:17">
      <c r="A348" t="s">
        <v>768</v>
      </c>
      <c r="B348" t="s">
        <v>386</v>
      </c>
      <c r="C348" t="s">
        <v>81</v>
      </c>
      <c r="D348">
        <v>37</v>
      </c>
      <c r="E348" t="s">
        <v>214</v>
      </c>
      <c r="F348">
        <v>2</v>
      </c>
      <c r="G348" t="s">
        <v>83</v>
      </c>
      <c r="H348" s="23">
        <v>70401</v>
      </c>
      <c r="I348" s="23">
        <v>0</v>
      </c>
      <c r="J348">
        <v>740</v>
      </c>
      <c r="K348" t="s">
        <v>90</v>
      </c>
      <c r="L348" s="23">
        <v>500000</v>
      </c>
      <c r="M348">
        <v>60</v>
      </c>
      <c r="N348">
        <v>9.03</v>
      </c>
      <c r="O348">
        <v>1</v>
      </c>
      <c r="P348">
        <v>3</v>
      </c>
      <c r="Q348" t="s">
        <v>85</v>
      </c>
    </row>
    <row r="349" customHeight="1" spans="1:17">
      <c r="A349" t="s">
        <v>769</v>
      </c>
      <c r="B349" t="s">
        <v>243</v>
      </c>
      <c r="C349" t="s">
        <v>109</v>
      </c>
      <c r="D349">
        <v>35</v>
      </c>
      <c r="E349" t="s">
        <v>115</v>
      </c>
      <c r="F349">
        <v>2</v>
      </c>
      <c r="G349" t="s">
        <v>83</v>
      </c>
      <c r="H349" s="23">
        <v>53967</v>
      </c>
      <c r="I349" s="23">
        <v>0</v>
      </c>
      <c r="J349">
        <v>727</v>
      </c>
      <c r="K349" t="s">
        <v>90</v>
      </c>
      <c r="L349" s="23">
        <v>780000</v>
      </c>
      <c r="M349">
        <v>60</v>
      </c>
      <c r="N349">
        <v>9.28</v>
      </c>
      <c r="O349">
        <v>2</v>
      </c>
      <c r="P349">
        <v>3</v>
      </c>
      <c r="Q349" t="s">
        <v>85</v>
      </c>
    </row>
    <row r="350" customHeight="1" spans="1:17">
      <c r="A350" t="s">
        <v>770</v>
      </c>
      <c r="B350" t="s">
        <v>771</v>
      </c>
      <c r="C350" t="s">
        <v>81</v>
      </c>
      <c r="D350">
        <v>37</v>
      </c>
      <c r="E350" t="s">
        <v>94</v>
      </c>
      <c r="F350">
        <v>1</v>
      </c>
      <c r="G350" t="s">
        <v>83</v>
      </c>
      <c r="H350" s="23">
        <v>61775</v>
      </c>
      <c r="I350" s="23">
        <v>25717</v>
      </c>
      <c r="J350">
        <v>797</v>
      </c>
      <c r="K350" t="s">
        <v>95</v>
      </c>
      <c r="L350" s="23">
        <v>1200000</v>
      </c>
      <c r="M350">
        <v>60</v>
      </c>
      <c r="N350">
        <v>14.84</v>
      </c>
      <c r="O350">
        <v>1</v>
      </c>
      <c r="P350">
        <v>3</v>
      </c>
      <c r="Q350" t="s">
        <v>85</v>
      </c>
    </row>
    <row r="351" customHeight="1" spans="1:17">
      <c r="A351" t="s">
        <v>772</v>
      </c>
      <c r="B351" t="s">
        <v>668</v>
      </c>
      <c r="C351" t="s">
        <v>109</v>
      </c>
      <c r="D351">
        <v>23</v>
      </c>
      <c r="E351" t="s">
        <v>88</v>
      </c>
      <c r="F351">
        <v>3</v>
      </c>
      <c r="G351" t="s">
        <v>83</v>
      </c>
      <c r="H351" s="23">
        <v>60873</v>
      </c>
      <c r="I351" s="23">
        <v>0</v>
      </c>
      <c r="J351">
        <v>802</v>
      </c>
      <c r="K351" t="s">
        <v>125</v>
      </c>
      <c r="L351" s="23">
        <v>3520000</v>
      </c>
      <c r="M351">
        <v>240</v>
      </c>
      <c r="N351">
        <v>9.38</v>
      </c>
      <c r="O351">
        <v>0</v>
      </c>
      <c r="P351">
        <v>1</v>
      </c>
      <c r="Q351" t="s">
        <v>85</v>
      </c>
    </row>
    <row r="352" customHeight="1" spans="1:17">
      <c r="A352" t="s">
        <v>773</v>
      </c>
      <c r="B352" t="s">
        <v>774</v>
      </c>
      <c r="C352" t="s">
        <v>109</v>
      </c>
      <c r="D352">
        <v>47</v>
      </c>
      <c r="E352" t="s">
        <v>152</v>
      </c>
      <c r="F352">
        <v>1</v>
      </c>
      <c r="G352" t="s">
        <v>103</v>
      </c>
      <c r="H352" s="23">
        <v>41784</v>
      </c>
      <c r="I352" s="23">
        <v>0</v>
      </c>
      <c r="J352">
        <v>747</v>
      </c>
      <c r="K352" t="s">
        <v>95</v>
      </c>
      <c r="L352" s="23">
        <v>1560000</v>
      </c>
      <c r="M352">
        <v>60</v>
      </c>
      <c r="N352">
        <v>14.83</v>
      </c>
      <c r="O352">
        <v>3</v>
      </c>
      <c r="P352">
        <v>2</v>
      </c>
      <c r="Q352" t="s">
        <v>91</v>
      </c>
    </row>
    <row r="353" customHeight="1" spans="1:17">
      <c r="A353" t="s">
        <v>775</v>
      </c>
      <c r="B353" t="s">
        <v>776</v>
      </c>
      <c r="C353" t="s">
        <v>81</v>
      </c>
      <c r="D353">
        <v>28</v>
      </c>
      <c r="E353" t="s">
        <v>214</v>
      </c>
      <c r="F353">
        <v>2</v>
      </c>
      <c r="G353" t="s">
        <v>116</v>
      </c>
      <c r="H353" s="23">
        <v>119938</v>
      </c>
      <c r="I353" s="23">
        <v>0</v>
      </c>
      <c r="J353">
        <v>739</v>
      </c>
      <c r="K353" t="s">
        <v>119</v>
      </c>
      <c r="L353" s="23">
        <v>280000</v>
      </c>
      <c r="M353">
        <v>48</v>
      </c>
      <c r="N353">
        <v>11.24</v>
      </c>
      <c r="O353">
        <v>5</v>
      </c>
      <c r="P353">
        <v>0</v>
      </c>
      <c r="Q353" t="s">
        <v>85</v>
      </c>
    </row>
    <row r="354" customHeight="1" spans="1:17">
      <c r="A354" t="s">
        <v>777</v>
      </c>
      <c r="B354" t="s">
        <v>286</v>
      </c>
      <c r="C354" t="s">
        <v>109</v>
      </c>
      <c r="D354">
        <v>32</v>
      </c>
      <c r="E354" t="s">
        <v>115</v>
      </c>
      <c r="F354">
        <v>2</v>
      </c>
      <c r="G354" t="s">
        <v>83</v>
      </c>
      <c r="H354" s="23">
        <v>33440</v>
      </c>
      <c r="I354" s="23">
        <v>0</v>
      </c>
      <c r="J354">
        <v>692</v>
      </c>
      <c r="K354" t="s">
        <v>119</v>
      </c>
      <c r="L354" s="23">
        <v>720000</v>
      </c>
      <c r="M354">
        <v>48</v>
      </c>
      <c r="N354">
        <v>11.27</v>
      </c>
      <c r="O354">
        <v>10</v>
      </c>
      <c r="P354">
        <v>3</v>
      </c>
      <c r="Q354" t="s">
        <v>85</v>
      </c>
    </row>
    <row r="355" customHeight="1" spans="1:17">
      <c r="A355" t="s">
        <v>778</v>
      </c>
      <c r="B355" t="s">
        <v>779</v>
      </c>
      <c r="C355" t="s">
        <v>109</v>
      </c>
      <c r="D355">
        <v>55</v>
      </c>
      <c r="E355" t="s">
        <v>138</v>
      </c>
      <c r="F355">
        <v>1</v>
      </c>
      <c r="G355" t="s">
        <v>116</v>
      </c>
      <c r="H355" s="23">
        <v>260817</v>
      </c>
      <c r="I355" s="23">
        <v>0</v>
      </c>
      <c r="J355">
        <v>740</v>
      </c>
      <c r="K355" t="s">
        <v>119</v>
      </c>
      <c r="L355" s="23">
        <v>260000</v>
      </c>
      <c r="M355">
        <v>48</v>
      </c>
      <c r="N355">
        <v>10.68</v>
      </c>
      <c r="O355">
        <v>1</v>
      </c>
      <c r="P355">
        <v>4</v>
      </c>
      <c r="Q355" t="s">
        <v>91</v>
      </c>
    </row>
    <row r="356" customHeight="1" spans="1:17">
      <c r="A356" t="s">
        <v>780</v>
      </c>
      <c r="B356" t="s">
        <v>781</v>
      </c>
      <c r="C356" t="s">
        <v>81</v>
      </c>
      <c r="D356">
        <v>44</v>
      </c>
      <c r="E356" t="s">
        <v>172</v>
      </c>
      <c r="F356">
        <v>2</v>
      </c>
      <c r="G356" t="s">
        <v>89</v>
      </c>
      <c r="H356" s="23">
        <v>109783</v>
      </c>
      <c r="I356" s="23">
        <v>6469</v>
      </c>
      <c r="J356">
        <v>720</v>
      </c>
      <c r="K356" t="s">
        <v>131</v>
      </c>
      <c r="L356" s="23">
        <v>430000</v>
      </c>
      <c r="M356">
        <v>36</v>
      </c>
      <c r="N356">
        <v>14.14</v>
      </c>
      <c r="O356">
        <v>3</v>
      </c>
      <c r="P356">
        <v>2</v>
      </c>
      <c r="Q356" t="s">
        <v>85</v>
      </c>
    </row>
    <row r="357" customHeight="1" spans="1:17">
      <c r="A357" t="s">
        <v>782</v>
      </c>
      <c r="B357" t="s">
        <v>783</v>
      </c>
      <c r="C357" t="s">
        <v>109</v>
      </c>
      <c r="D357">
        <v>42</v>
      </c>
      <c r="E357" t="s">
        <v>157</v>
      </c>
      <c r="F357">
        <v>2</v>
      </c>
      <c r="G357" t="s">
        <v>83</v>
      </c>
      <c r="H357" s="23">
        <v>45908</v>
      </c>
      <c r="I357" s="23">
        <v>0</v>
      </c>
      <c r="J357">
        <v>770</v>
      </c>
      <c r="K357" t="s">
        <v>84</v>
      </c>
      <c r="L357" s="23">
        <v>1200000</v>
      </c>
      <c r="M357">
        <v>84</v>
      </c>
      <c r="N357">
        <v>10.59</v>
      </c>
      <c r="O357">
        <v>0</v>
      </c>
      <c r="P357">
        <v>4</v>
      </c>
      <c r="Q357" t="s">
        <v>85</v>
      </c>
    </row>
    <row r="358" customHeight="1" spans="1:17">
      <c r="A358" t="s">
        <v>784</v>
      </c>
      <c r="B358" t="s">
        <v>785</v>
      </c>
      <c r="C358" t="s">
        <v>109</v>
      </c>
      <c r="D358">
        <v>30</v>
      </c>
      <c r="E358" t="s">
        <v>169</v>
      </c>
      <c r="F358">
        <v>3</v>
      </c>
      <c r="G358" t="s">
        <v>89</v>
      </c>
      <c r="H358" s="23">
        <v>29471</v>
      </c>
      <c r="I358" s="23">
        <v>49</v>
      </c>
      <c r="J358">
        <v>613</v>
      </c>
      <c r="K358" t="s">
        <v>119</v>
      </c>
      <c r="L358" s="23">
        <v>400000</v>
      </c>
      <c r="M358">
        <v>48</v>
      </c>
      <c r="N358">
        <v>11.35</v>
      </c>
      <c r="O358">
        <v>2</v>
      </c>
      <c r="P358">
        <v>4</v>
      </c>
      <c r="Q358" t="s">
        <v>85</v>
      </c>
    </row>
    <row r="359" customHeight="1" spans="1:17">
      <c r="A359" t="s">
        <v>786</v>
      </c>
      <c r="B359" t="s">
        <v>787</v>
      </c>
      <c r="C359" t="s">
        <v>109</v>
      </c>
      <c r="D359">
        <v>49</v>
      </c>
      <c r="E359" t="s">
        <v>214</v>
      </c>
      <c r="F359">
        <v>2</v>
      </c>
      <c r="G359" t="s">
        <v>83</v>
      </c>
      <c r="H359" s="23">
        <v>190823</v>
      </c>
      <c r="I359" s="23">
        <v>0</v>
      </c>
      <c r="J359">
        <v>755</v>
      </c>
      <c r="K359" t="s">
        <v>125</v>
      </c>
      <c r="L359" s="23">
        <v>4530000</v>
      </c>
      <c r="M359">
        <v>240</v>
      </c>
      <c r="N359">
        <v>9.29</v>
      </c>
      <c r="O359">
        <v>5</v>
      </c>
      <c r="P359">
        <v>0</v>
      </c>
      <c r="Q359" t="s">
        <v>85</v>
      </c>
    </row>
    <row r="360" customHeight="1" spans="1:17">
      <c r="A360" t="s">
        <v>788</v>
      </c>
      <c r="B360" t="s">
        <v>789</v>
      </c>
      <c r="C360" t="s">
        <v>81</v>
      </c>
      <c r="D360">
        <v>37</v>
      </c>
      <c r="E360" t="s">
        <v>138</v>
      </c>
      <c r="F360">
        <v>1</v>
      </c>
      <c r="G360" t="s">
        <v>83</v>
      </c>
      <c r="H360" s="23">
        <v>49708</v>
      </c>
      <c r="I360" s="23">
        <v>12273</v>
      </c>
      <c r="J360">
        <v>711</v>
      </c>
      <c r="K360" t="s">
        <v>95</v>
      </c>
      <c r="L360" s="23">
        <v>1020000</v>
      </c>
      <c r="M360">
        <v>60</v>
      </c>
      <c r="N360">
        <v>14.23</v>
      </c>
      <c r="O360">
        <v>15</v>
      </c>
      <c r="P360">
        <v>0</v>
      </c>
      <c r="Q360" t="s">
        <v>85</v>
      </c>
    </row>
    <row r="361" customHeight="1" spans="1:17">
      <c r="A361" t="s">
        <v>790</v>
      </c>
      <c r="B361" t="s">
        <v>258</v>
      </c>
      <c r="C361" t="s">
        <v>109</v>
      </c>
      <c r="D361">
        <v>44</v>
      </c>
      <c r="E361" t="s">
        <v>115</v>
      </c>
      <c r="F361">
        <v>2</v>
      </c>
      <c r="G361" t="s">
        <v>116</v>
      </c>
      <c r="H361" s="23">
        <v>151694</v>
      </c>
      <c r="I361" s="23">
        <v>0</v>
      </c>
      <c r="J361">
        <v>690</v>
      </c>
      <c r="K361" t="s">
        <v>125</v>
      </c>
      <c r="L361" s="23">
        <v>1120000</v>
      </c>
      <c r="M361">
        <v>240</v>
      </c>
      <c r="N361">
        <v>8.76</v>
      </c>
      <c r="O361">
        <v>0</v>
      </c>
      <c r="P361">
        <v>2</v>
      </c>
      <c r="Q361" t="s">
        <v>85</v>
      </c>
    </row>
    <row r="362" customHeight="1" spans="1:17">
      <c r="A362" t="s">
        <v>791</v>
      </c>
      <c r="B362" t="s">
        <v>792</v>
      </c>
      <c r="C362" t="s">
        <v>109</v>
      </c>
      <c r="D362">
        <v>32</v>
      </c>
      <c r="E362" t="s">
        <v>110</v>
      </c>
      <c r="F362">
        <v>1</v>
      </c>
      <c r="G362" t="s">
        <v>89</v>
      </c>
      <c r="H362" s="23">
        <v>140268</v>
      </c>
      <c r="I362" s="23">
        <v>0</v>
      </c>
      <c r="J362">
        <v>735</v>
      </c>
      <c r="K362" t="s">
        <v>84</v>
      </c>
      <c r="L362" s="23">
        <v>370000</v>
      </c>
      <c r="M362">
        <v>84</v>
      </c>
      <c r="N362">
        <v>11.46</v>
      </c>
      <c r="O362">
        <v>8</v>
      </c>
      <c r="P362">
        <v>4</v>
      </c>
      <c r="Q362" t="s">
        <v>85</v>
      </c>
    </row>
    <row r="363" customHeight="1" spans="1:17">
      <c r="A363" t="s">
        <v>793</v>
      </c>
      <c r="B363" t="s">
        <v>794</v>
      </c>
      <c r="C363" t="s">
        <v>109</v>
      </c>
      <c r="D363">
        <v>34</v>
      </c>
      <c r="E363" t="s">
        <v>152</v>
      </c>
      <c r="F363">
        <v>1</v>
      </c>
      <c r="G363" t="s">
        <v>116</v>
      </c>
      <c r="H363" s="23">
        <v>277868</v>
      </c>
      <c r="I363" s="23">
        <v>68693</v>
      </c>
      <c r="J363">
        <v>719</v>
      </c>
      <c r="K363" t="s">
        <v>131</v>
      </c>
      <c r="L363" s="23">
        <v>460000</v>
      </c>
      <c r="M363">
        <v>36</v>
      </c>
      <c r="N363">
        <v>14.27</v>
      </c>
      <c r="O363">
        <v>3</v>
      </c>
      <c r="P363">
        <v>3</v>
      </c>
      <c r="Q363" t="s">
        <v>85</v>
      </c>
    </row>
    <row r="364" customHeight="1" spans="1:17">
      <c r="A364" t="s">
        <v>795</v>
      </c>
      <c r="B364" t="s">
        <v>796</v>
      </c>
      <c r="C364" t="s">
        <v>109</v>
      </c>
      <c r="D364">
        <v>35</v>
      </c>
      <c r="E364" t="s">
        <v>172</v>
      </c>
      <c r="F364">
        <v>2</v>
      </c>
      <c r="G364" t="s">
        <v>89</v>
      </c>
      <c r="H364" s="23">
        <v>80561</v>
      </c>
      <c r="I364" s="23">
        <v>4212</v>
      </c>
      <c r="J364">
        <v>715</v>
      </c>
      <c r="K364" t="s">
        <v>131</v>
      </c>
      <c r="L364" s="23">
        <v>130000</v>
      </c>
      <c r="M364">
        <v>36</v>
      </c>
      <c r="N364">
        <v>13.14</v>
      </c>
      <c r="O364">
        <v>11</v>
      </c>
      <c r="P364">
        <v>1</v>
      </c>
      <c r="Q364" t="s">
        <v>85</v>
      </c>
    </row>
    <row r="365" customHeight="1" spans="1:17">
      <c r="A365" t="s">
        <v>797</v>
      </c>
      <c r="B365" t="s">
        <v>798</v>
      </c>
      <c r="C365" t="s">
        <v>109</v>
      </c>
      <c r="D365">
        <v>40</v>
      </c>
      <c r="E365" t="s">
        <v>88</v>
      </c>
      <c r="F365">
        <v>3</v>
      </c>
      <c r="G365" t="s">
        <v>83</v>
      </c>
      <c r="H365" s="23">
        <v>61113</v>
      </c>
      <c r="I365" s="23">
        <v>0</v>
      </c>
      <c r="J365">
        <v>693</v>
      </c>
      <c r="K365" t="s">
        <v>119</v>
      </c>
      <c r="L365" s="23">
        <v>510000</v>
      </c>
      <c r="M365">
        <v>48</v>
      </c>
      <c r="N365">
        <v>11.6</v>
      </c>
      <c r="O365">
        <v>9</v>
      </c>
      <c r="P365">
        <v>2</v>
      </c>
      <c r="Q365" t="s">
        <v>85</v>
      </c>
    </row>
    <row r="366" customHeight="1" spans="1:17">
      <c r="A366" t="s">
        <v>799</v>
      </c>
      <c r="B366" t="s">
        <v>800</v>
      </c>
      <c r="C366" t="s">
        <v>81</v>
      </c>
      <c r="D366">
        <v>22</v>
      </c>
      <c r="E366" t="s">
        <v>157</v>
      </c>
      <c r="F366">
        <v>2</v>
      </c>
      <c r="G366" t="s">
        <v>83</v>
      </c>
      <c r="H366" s="23">
        <v>48436</v>
      </c>
      <c r="I366" s="23">
        <v>20503</v>
      </c>
      <c r="J366">
        <v>738</v>
      </c>
      <c r="K366" t="s">
        <v>90</v>
      </c>
      <c r="L366" s="23">
        <v>400000</v>
      </c>
      <c r="M366">
        <v>60</v>
      </c>
      <c r="N366">
        <v>9.12</v>
      </c>
      <c r="O366">
        <v>1</v>
      </c>
      <c r="P366">
        <v>2</v>
      </c>
      <c r="Q366" t="s">
        <v>85</v>
      </c>
    </row>
    <row r="367" customHeight="1" spans="1:17">
      <c r="A367" t="s">
        <v>801</v>
      </c>
      <c r="B367" t="s">
        <v>478</v>
      </c>
      <c r="C367" t="s">
        <v>109</v>
      </c>
      <c r="D367">
        <v>40</v>
      </c>
      <c r="E367" t="s">
        <v>169</v>
      </c>
      <c r="F367">
        <v>3</v>
      </c>
      <c r="G367" t="s">
        <v>83</v>
      </c>
      <c r="H367" s="23">
        <v>19412</v>
      </c>
      <c r="I367" s="23">
        <v>3276</v>
      </c>
      <c r="J367">
        <v>601</v>
      </c>
      <c r="K367" t="s">
        <v>90</v>
      </c>
      <c r="L367" s="23">
        <v>690000</v>
      </c>
      <c r="M367">
        <v>60</v>
      </c>
      <c r="N367">
        <v>10.25</v>
      </c>
      <c r="O367">
        <v>17</v>
      </c>
      <c r="P367">
        <v>2</v>
      </c>
      <c r="Q367" t="s">
        <v>91</v>
      </c>
    </row>
    <row r="368" customHeight="1" spans="1:17">
      <c r="A368" t="s">
        <v>802</v>
      </c>
      <c r="B368" t="s">
        <v>803</v>
      </c>
      <c r="C368" t="s">
        <v>109</v>
      </c>
      <c r="D368">
        <v>42</v>
      </c>
      <c r="E368" t="s">
        <v>149</v>
      </c>
      <c r="F368">
        <v>1</v>
      </c>
      <c r="G368" t="s">
        <v>83</v>
      </c>
      <c r="H368" s="23">
        <v>54423</v>
      </c>
      <c r="I368" s="23">
        <v>8586</v>
      </c>
      <c r="J368">
        <v>708</v>
      </c>
      <c r="K368" t="s">
        <v>119</v>
      </c>
      <c r="L368" s="23">
        <v>330000</v>
      </c>
      <c r="M368">
        <v>48</v>
      </c>
      <c r="N368">
        <v>11.55</v>
      </c>
      <c r="O368">
        <v>6</v>
      </c>
      <c r="P368">
        <v>2</v>
      </c>
      <c r="Q368" t="s">
        <v>91</v>
      </c>
    </row>
    <row r="369" customHeight="1" spans="1:17">
      <c r="A369" t="s">
        <v>804</v>
      </c>
      <c r="B369" t="s">
        <v>591</v>
      </c>
      <c r="C369" t="s">
        <v>81</v>
      </c>
      <c r="D369">
        <v>25</v>
      </c>
      <c r="E369" t="s">
        <v>179</v>
      </c>
      <c r="F369">
        <v>2</v>
      </c>
      <c r="G369" t="s">
        <v>83</v>
      </c>
      <c r="H369" s="23">
        <v>45296</v>
      </c>
      <c r="I369" s="23">
        <v>0</v>
      </c>
      <c r="J369">
        <v>666</v>
      </c>
      <c r="K369" t="s">
        <v>119</v>
      </c>
      <c r="L369" s="23">
        <v>720000</v>
      </c>
      <c r="M369">
        <v>48</v>
      </c>
      <c r="N369">
        <v>11.25</v>
      </c>
      <c r="O369">
        <v>5</v>
      </c>
      <c r="P369">
        <v>3</v>
      </c>
      <c r="Q369" t="s">
        <v>85</v>
      </c>
    </row>
    <row r="370" customHeight="1" spans="1:17">
      <c r="A370" t="s">
        <v>805</v>
      </c>
      <c r="B370" t="s">
        <v>806</v>
      </c>
      <c r="C370" t="s">
        <v>81</v>
      </c>
      <c r="D370">
        <v>48</v>
      </c>
      <c r="E370" t="s">
        <v>172</v>
      </c>
      <c r="F370">
        <v>2</v>
      </c>
      <c r="G370" t="s">
        <v>103</v>
      </c>
      <c r="H370" s="23">
        <v>92947</v>
      </c>
      <c r="I370" s="23">
        <v>0</v>
      </c>
      <c r="J370">
        <v>693</v>
      </c>
      <c r="K370" t="s">
        <v>119</v>
      </c>
      <c r="L370" s="23">
        <v>310000</v>
      </c>
      <c r="M370">
        <v>48</v>
      </c>
      <c r="N370">
        <v>10.91</v>
      </c>
      <c r="O370">
        <v>6</v>
      </c>
      <c r="P370">
        <v>3</v>
      </c>
      <c r="Q370" t="s">
        <v>85</v>
      </c>
    </row>
    <row r="371" customHeight="1" spans="1:17">
      <c r="A371" t="s">
        <v>807</v>
      </c>
      <c r="B371" t="s">
        <v>124</v>
      </c>
      <c r="C371" t="s">
        <v>109</v>
      </c>
      <c r="D371">
        <v>36</v>
      </c>
      <c r="E371" t="s">
        <v>110</v>
      </c>
      <c r="F371">
        <v>1</v>
      </c>
      <c r="G371" t="s">
        <v>83</v>
      </c>
      <c r="H371" s="23">
        <v>63242</v>
      </c>
      <c r="I371" s="23">
        <v>0</v>
      </c>
      <c r="J371">
        <v>735</v>
      </c>
      <c r="K371" t="s">
        <v>95</v>
      </c>
      <c r="L371" s="23">
        <v>1540000</v>
      </c>
      <c r="M371">
        <v>60</v>
      </c>
      <c r="N371">
        <v>14.05</v>
      </c>
      <c r="O371">
        <v>1</v>
      </c>
      <c r="P371">
        <v>1</v>
      </c>
      <c r="Q371" t="s">
        <v>85</v>
      </c>
    </row>
    <row r="372" customHeight="1" spans="1:17">
      <c r="A372" t="s">
        <v>808</v>
      </c>
      <c r="B372" t="s">
        <v>809</v>
      </c>
      <c r="C372" t="s">
        <v>81</v>
      </c>
      <c r="D372">
        <v>43</v>
      </c>
      <c r="E372" t="s">
        <v>169</v>
      </c>
      <c r="F372">
        <v>3</v>
      </c>
      <c r="G372" t="s">
        <v>83</v>
      </c>
      <c r="H372" s="23">
        <v>32751</v>
      </c>
      <c r="I372" s="23">
        <v>1767</v>
      </c>
      <c r="J372">
        <v>684</v>
      </c>
      <c r="K372" t="s">
        <v>119</v>
      </c>
      <c r="L372" s="23">
        <v>390000</v>
      </c>
      <c r="M372">
        <v>48</v>
      </c>
      <c r="N372">
        <v>11.67</v>
      </c>
      <c r="O372">
        <v>0</v>
      </c>
      <c r="P372">
        <v>1</v>
      </c>
      <c r="Q372" t="s">
        <v>85</v>
      </c>
    </row>
    <row r="373" customHeight="1" spans="1:17">
      <c r="A373" t="s">
        <v>810</v>
      </c>
      <c r="B373" t="s">
        <v>811</v>
      </c>
      <c r="C373" t="s">
        <v>81</v>
      </c>
      <c r="D373">
        <v>40</v>
      </c>
      <c r="E373" t="s">
        <v>149</v>
      </c>
      <c r="F373">
        <v>1</v>
      </c>
      <c r="G373" t="s">
        <v>89</v>
      </c>
      <c r="H373" s="23">
        <v>41803</v>
      </c>
      <c r="I373" s="23">
        <v>6793</v>
      </c>
      <c r="J373">
        <v>722</v>
      </c>
      <c r="K373" t="s">
        <v>131</v>
      </c>
      <c r="L373" s="23">
        <v>330000</v>
      </c>
      <c r="M373">
        <v>36</v>
      </c>
      <c r="N373">
        <v>13.38</v>
      </c>
      <c r="O373">
        <v>17</v>
      </c>
      <c r="P373">
        <v>2</v>
      </c>
      <c r="Q373" t="s">
        <v>85</v>
      </c>
    </row>
    <row r="374" customHeight="1" spans="1:17">
      <c r="A374" t="s">
        <v>812</v>
      </c>
      <c r="B374" t="s">
        <v>813</v>
      </c>
      <c r="C374" t="s">
        <v>81</v>
      </c>
      <c r="D374">
        <v>29</v>
      </c>
      <c r="E374" t="s">
        <v>138</v>
      </c>
      <c r="F374">
        <v>1</v>
      </c>
      <c r="G374" t="s">
        <v>83</v>
      </c>
      <c r="H374" s="23">
        <v>101258</v>
      </c>
      <c r="I374" s="23">
        <v>45079</v>
      </c>
      <c r="J374">
        <v>771</v>
      </c>
      <c r="K374" t="s">
        <v>95</v>
      </c>
      <c r="L374" s="23">
        <v>960000</v>
      </c>
      <c r="M374">
        <v>60</v>
      </c>
      <c r="N374">
        <v>14.54</v>
      </c>
      <c r="O374">
        <v>2</v>
      </c>
      <c r="P374">
        <v>2</v>
      </c>
      <c r="Q374" t="s">
        <v>85</v>
      </c>
    </row>
    <row r="375" customHeight="1" spans="1:17">
      <c r="A375" t="s">
        <v>814</v>
      </c>
      <c r="B375" t="s">
        <v>815</v>
      </c>
      <c r="C375" t="s">
        <v>81</v>
      </c>
      <c r="D375">
        <v>57</v>
      </c>
      <c r="E375" t="s">
        <v>94</v>
      </c>
      <c r="F375">
        <v>1</v>
      </c>
      <c r="G375" t="s">
        <v>89</v>
      </c>
      <c r="H375" s="23">
        <v>53994</v>
      </c>
      <c r="I375" s="23">
        <v>17236</v>
      </c>
      <c r="J375">
        <v>732</v>
      </c>
      <c r="K375" t="s">
        <v>90</v>
      </c>
      <c r="L375" s="23">
        <v>720000</v>
      </c>
      <c r="M375">
        <v>60</v>
      </c>
      <c r="N375">
        <v>9.65</v>
      </c>
      <c r="O375">
        <v>1</v>
      </c>
      <c r="P375">
        <v>1</v>
      </c>
      <c r="Q375" t="s">
        <v>85</v>
      </c>
    </row>
    <row r="376" customHeight="1" spans="1:17">
      <c r="A376" t="s">
        <v>816</v>
      </c>
      <c r="B376" t="s">
        <v>817</v>
      </c>
      <c r="C376" t="s">
        <v>109</v>
      </c>
      <c r="D376">
        <v>42</v>
      </c>
      <c r="E376" t="s">
        <v>98</v>
      </c>
      <c r="F376">
        <v>2</v>
      </c>
      <c r="G376" t="s">
        <v>89</v>
      </c>
      <c r="H376" s="23">
        <v>36448</v>
      </c>
      <c r="I376" s="23">
        <v>7281</v>
      </c>
      <c r="J376">
        <v>843</v>
      </c>
      <c r="K376" t="s">
        <v>90</v>
      </c>
      <c r="L376" s="23">
        <v>210000</v>
      </c>
      <c r="M376">
        <v>60</v>
      </c>
      <c r="N376">
        <v>10.38</v>
      </c>
      <c r="O376">
        <v>0</v>
      </c>
      <c r="P376">
        <v>1</v>
      </c>
      <c r="Q376" t="s">
        <v>85</v>
      </c>
    </row>
    <row r="377" customHeight="1" spans="1:17">
      <c r="A377" t="s">
        <v>818</v>
      </c>
      <c r="B377" t="s">
        <v>819</v>
      </c>
      <c r="C377" t="s">
        <v>109</v>
      </c>
      <c r="D377">
        <v>37</v>
      </c>
      <c r="E377" t="s">
        <v>122</v>
      </c>
      <c r="F377">
        <v>2</v>
      </c>
      <c r="G377" t="s">
        <v>103</v>
      </c>
      <c r="H377" s="23">
        <v>63569</v>
      </c>
      <c r="I377" s="23">
        <v>8121</v>
      </c>
      <c r="J377">
        <v>659</v>
      </c>
      <c r="K377" t="s">
        <v>95</v>
      </c>
      <c r="L377" s="23">
        <v>1550000</v>
      </c>
      <c r="M377">
        <v>60</v>
      </c>
      <c r="N377">
        <v>14.89</v>
      </c>
      <c r="O377">
        <v>1</v>
      </c>
      <c r="P377">
        <v>2</v>
      </c>
      <c r="Q377" t="s">
        <v>85</v>
      </c>
    </row>
    <row r="378" customHeight="1" spans="1:17">
      <c r="A378" t="s">
        <v>820</v>
      </c>
      <c r="B378" t="s">
        <v>821</v>
      </c>
      <c r="C378" t="s">
        <v>81</v>
      </c>
      <c r="D378">
        <v>38</v>
      </c>
      <c r="E378" t="s">
        <v>88</v>
      </c>
      <c r="F378">
        <v>3</v>
      </c>
      <c r="G378" t="s">
        <v>89</v>
      </c>
      <c r="H378" s="23">
        <v>25747</v>
      </c>
      <c r="I378" s="23">
        <v>0</v>
      </c>
      <c r="J378">
        <v>759</v>
      </c>
      <c r="K378" t="s">
        <v>125</v>
      </c>
      <c r="L378" s="23">
        <v>5150000</v>
      </c>
      <c r="M378">
        <v>240</v>
      </c>
      <c r="N378">
        <v>9.8</v>
      </c>
      <c r="O378">
        <v>5</v>
      </c>
      <c r="P378">
        <v>1</v>
      </c>
      <c r="Q378" t="s">
        <v>91</v>
      </c>
    </row>
    <row r="379" customHeight="1" spans="1:17">
      <c r="A379" t="s">
        <v>822</v>
      </c>
      <c r="B379" t="s">
        <v>823</v>
      </c>
      <c r="C379" t="s">
        <v>81</v>
      </c>
      <c r="D379">
        <v>25</v>
      </c>
      <c r="E379" t="s">
        <v>98</v>
      </c>
      <c r="F379">
        <v>2</v>
      </c>
      <c r="G379" t="s">
        <v>83</v>
      </c>
      <c r="H379" s="23">
        <v>44605</v>
      </c>
      <c r="I379" s="23">
        <v>16112</v>
      </c>
      <c r="J379">
        <v>672</v>
      </c>
      <c r="K379" t="s">
        <v>95</v>
      </c>
      <c r="L379" s="23">
        <v>1840000</v>
      </c>
      <c r="M379">
        <v>60</v>
      </c>
      <c r="N379">
        <v>15.15</v>
      </c>
      <c r="O379">
        <v>2</v>
      </c>
      <c r="P379">
        <v>4</v>
      </c>
      <c r="Q379" t="s">
        <v>85</v>
      </c>
    </row>
    <row r="380" customHeight="1" spans="1:17">
      <c r="A380" t="s">
        <v>824</v>
      </c>
      <c r="B380" t="s">
        <v>825</v>
      </c>
      <c r="C380" t="s">
        <v>109</v>
      </c>
      <c r="D380">
        <v>40</v>
      </c>
      <c r="E380" t="s">
        <v>94</v>
      </c>
      <c r="F380">
        <v>1</v>
      </c>
      <c r="G380" t="s">
        <v>89</v>
      </c>
      <c r="H380" s="23">
        <v>53403</v>
      </c>
      <c r="I380" s="23">
        <v>21407</v>
      </c>
      <c r="J380">
        <v>817</v>
      </c>
      <c r="K380" t="s">
        <v>95</v>
      </c>
      <c r="L380" s="23">
        <v>790000</v>
      </c>
      <c r="M380">
        <v>60</v>
      </c>
      <c r="N380">
        <v>14.59</v>
      </c>
      <c r="O380">
        <v>3</v>
      </c>
      <c r="P380">
        <v>2</v>
      </c>
      <c r="Q380" t="s">
        <v>85</v>
      </c>
    </row>
    <row r="381" customHeight="1" spans="1:17">
      <c r="A381" t="s">
        <v>826</v>
      </c>
      <c r="B381" t="s">
        <v>827</v>
      </c>
      <c r="C381" t="s">
        <v>81</v>
      </c>
      <c r="D381">
        <v>38</v>
      </c>
      <c r="E381" t="s">
        <v>82</v>
      </c>
      <c r="F381">
        <v>2</v>
      </c>
      <c r="G381" t="s">
        <v>89</v>
      </c>
      <c r="H381" s="23">
        <v>93052</v>
      </c>
      <c r="I381" s="23">
        <v>6667</v>
      </c>
      <c r="J381">
        <v>786</v>
      </c>
      <c r="K381" t="s">
        <v>125</v>
      </c>
      <c r="L381" s="23">
        <v>4180000</v>
      </c>
      <c r="M381">
        <v>240</v>
      </c>
      <c r="N381">
        <v>9.36</v>
      </c>
      <c r="O381">
        <v>0</v>
      </c>
      <c r="P381">
        <v>0</v>
      </c>
      <c r="Q381" t="s">
        <v>85</v>
      </c>
    </row>
    <row r="382" customHeight="1" spans="1:17">
      <c r="A382" t="s">
        <v>828</v>
      </c>
      <c r="B382" t="s">
        <v>829</v>
      </c>
      <c r="C382" t="s">
        <v>109</v>
      </c>
      <c r="D382">
        <v>29</v>
      </c>
      <c r="E382" t="s">
        <v>152</v>
      </c>
      <c r="F382">
        <v>1</v>
      </c>
      <c r="G382" t="s">
        <v>83</v>
      </c>
      <c r="H382" s="23">
        <v>146015</v>
      </c>
      <c r="I382" s="23">
        <v>65171</v>
      </c>
      <c r="J382">
        <v>697</v>
      </c>
      <c r="K382" t="s">
        <v>131</v>
      </c>
      <c r="L382" s="23">
        <v>90000</v>
      </c>
      <c r="M382">
        <v>36</v>
      </c>
      <c r="N382">
        <v>14.22</v>
      </c>
      <c r="O382">
        <v>3</v>
      </c>
      <c r="P382">
        <v>0</v>
      </c>
      <c r="Q382" t="s">
        <v>85</v>
      </c>
    </row>
    <row r="383" customHeight="1" spans="1:17">
      <c r="A383" t="s">
        <v>830</v>
      </c>
      <c r="B383" t="s">
        <v>831</v>
      </c>
      <c r="C383" t="s">
        <v>81</v>
      </c>
      <c r="D383">
        <v>37</v>
      </c>
      <c r="E383" t="s">
        <v>149</v>
      </c>
      <c r="F383">
        <v>1</v>
      </c>
      <c r="G383" t="s">
        <v>89</v>
      </c>
      <c r="H383" s="23">
        <v>26393</v>
      </c>
      <c r="I383" s="23">
        <v>0</v>
      </c>
      <c r="J383">
        <v>735</v>
      </c>
      <c r="K383" t="s">
        <v>131</v>
      </c>
      <c r="L383" s="23">
        <v>440000</v>
      </c>
      <c r="M383">
        <v>36</v>
      </c>
      <c r="N383">
        <v>13.75</v>
      </c>
      <c r="O383">
        <v>1</v>
      </c>
      <c r="P383">
        <v>1</v>
      </c>
      <c r="Q383" t="s">
        <v>85</v>
      </c>
    </row>
    <row r="384" customHeight="1" spans="1:17">
      <c r="A384" t="s">
        <v>832</v>
      </c>
      <c r="B384" t="s">
        <v>480</v>
      </c>
      <c r="C384" t="s">
        <v>109</v>
      </c>
      <c r="D384">
        <v>35</v>
      </c>
      <c r="E384" t="s">
        <v>82</v>
      </c>
      <c r="F384">
        <v>2</v>
      </c>
      <c r="G384" t="s">
        <v>89</v>
      </c>
      <c r="H384" s="23">
        <v>29589</v>
      </c>
      <c r="I384" s="23">
        <v>10870</v>
      </c>
      <c r="J384">
        <v>620</v>
      </c>
      <c r="K384" t="s">
        <v>84</v>
      </c>
      <c r="L384" s="23">
        <v>1440000</v>
      </c>
      <c r="M384">
        <v>84</v>
      </c>
      <c r="N384">
        <v>11.59</v>
      </c>
      <c r="O384">
        <v>0</v>
      </c>
      <c r="P384">
        <v>0</v>
      </c>
      <c r="Q384" t="s">
        <v>91</v>
      </c>
    </row>
    <row r="385" customHeight="1" spans="1:17">
      <c r="A385" t="s">
        <v>833</v>
      </c>
      <c r="B385" t="s">
        <v>834</v>
      </c>
      <c r="C385" t="s">
        <v>81</v>
      </c>
      <c r="D385">
        <v>44</v>
      </c>
      <c r="E385" t="s">
        <v>122</v>
      </c>
      <c r="F385">
        <v>2</v>
      </c>
      <c r="G385" t="s">
        <v>116</v>
      </c>
      <c r="H385" s="23">
        <v>31621</v>
      </c>
      <c r="I385" s="23">
        <v>9304</v>
      </c>
      <c r="J385">
        <v>702</v>
      </c>
      <c r="K385" t="s">
        <v>84</v>
      </c>
      <c r="L385" s="23">
        <v>1050000</v>
      </c>
      <c r="M385">
        <v>84</v>
      </c>
      <c r="N385">
        <v>10.69</v>
      </c>
      <c r="O385">
        <v>6</v>
      </c>
      <c r="P385">
        <v>3</v>
      </c>
      <c r="Q385" t="s">
        <v>85</v>
      </c>
    </row>
    <row r="386" customHeight="1" spans="1:17">
      <c r="A386" t="s">
        <v>835</v>
      </c>
      <c r="B386" t="s">
        <v>836</v>
      </c>
      <c r="C386" t="s">
        <v>109</v>
      </c>
      <c r="D386">
        <v>27</v>
      </c>
      <c r="E386" t="s">
        <v>179</v>
      </c>
      <c r="F386">
        <v>2</v>
      </c>
      <c r="G386" t="s">
        <v>89</v>
      </c>
      <c r="H386" s="23">
        <v>89366</v>
      </c>
      <c r="I386" s="23">
        <v>32353</v>
      </c>
      <c r="J386">
        <v>792</v>
      </c>
      <c r="K386" t="s">
        <v>90</v>
      </c>
      <c r="L386" s="23">
        <v>320000</v>
      </c>
      <c r="M386">
        <v>60</v>
      </c>
      <c r="N386">
        <v>10.16</v>
      </c>
      <c r="O386">
        <v>8</v>
      </c>
      <c r="P386">
        <v>4</v>
      </c>
      <c r="Q386" t="s">
        <v>85</v>
      </c>
    </row>
    <row r="387" customHeight="1" spans="1:17">
      <c r="A387" t="s">
        <v>837</v>
      </c>
      <c r="B387" t="s">
        <v>838</v>
      </c>
      <c r="C387" t="s">
        <v>81</v>
      </c>
      <c r="D387">
        <v>53</v>
      </c>
      <c r="E387" t="s">
        <v>169</v>
      </c>
      <c r="F387">
        <v>3</v>
      </c>
      <c r="G387" t="s">
        <v>83</v>
      </c>
      <c r="H387" s="23">
        <v>59376</v>
      </c>
      <c r="I387" s="23">
        <v>9402</v>
      </c>
      <c r="J387">
        <v>610</v>
      </c>
      <c r="K387" t="s">
        <v>84</v>
      </c>
      <c r="L387" s="23">
        <v>1190000</v>
      </c>
      <c r="M387">
        <v>84</v>
      </c>
      <c r="N387">
        <v>11.27</v>
      </c>
      <c r="O387">
        <v>0</v>
      </c>
      <c r="P387">
        <v>4</v>
      </c>
      <c r="Q387" t="s">
        <v>85</v>
      </c>
    </row>
    <row r="388" customHeight="1" spans="1:17">
      <c r="A388" t="s">
        <v>839</v>
      </c>
      <c r="B388" t="s">
        <v>87</v>
      </c>
      <c r="C388" t="s">
        <v>81</v>
      </c>
      <c r="D388">
        <v>37</v>
      </c>
      <c r="E388" t="s">
        <v>162</v>
      </c>
      <c r="F388">
        <v>1</v>
      </c>
      <c r="G388" t="s">
        <v>83</v>
      </c>
      <c r="H388" s="23">
        <v>124219</v>
      </c>
      <c r="I388" s="23">
        <v>34713</v>
      </c>
      <c r="J388">
        <v>679</v>
      </c>
      <c r="K388" t="s">
        <v>84</v>
      </c>
      <c r="L388" s="23">
        <v>870000</v>
      </c>
      <c r="M388">
        <v>84</v>
      </c>
      <c r="N388">
        <v>10.94</v>
      </c>
      <c r="O388">
        <v>3</v>
      </c>
      <c r="P388">
        <v>2</v>
      </c>
      <c r="Q388" t="s">
        <v>85</v>
      </c>
    </row>
    <row r="389" customHeight="1" spans="1:17">
      <c r="A389" t="s">
        <v>840</v>
      </c>
      <c r="B389" t="s">
        <v>841</v>
      </c>
      <c r="C389" t="s">
        <v>81</v>
      </c>
      <c r="D389">
        <v>38</v>
      </c>
      <c r="E389" t="s">
        <v>179</v>
      </c>
      <c r="F389">
        <v>2</v>
      </c>
      <c r="G389" t="s">
        <v>83</v>
      </c>
      <c r="H389" s="23">
        <v>48155</v>
      </c>
      <c r="I389" s="23">
        <v>14328</v>
      </c>
      <c r="J389">
        <v>617</v>
      </c>
      <c r="K389" t="s">
        <v>95</v>
      </c>
      <c r="L389" s="23">
        <v>930000</v>
      </c>
      <c r="M389">
        <v>60</v>
      </c>
      <c r="N389">
        <v>13.77</v>
      </c>
      <c r="O389">
        <v>6</v>
      </c>
      <c r="P389">
        <v>3</v>
      </c>
      <c r="Q389" t="s">
        <v>85</v>
      </c>
    </row>
    <row r="390" customHeight="1" spans="1:17">
      <c r="A390" t="s">
        <v>842</v>
      </c>
      <c r="B390" t="s">
        <v>843</v>
      </c>
      <c r="C390" t="s">
        <v>81</v>
      </c>
      <c r="D390">
        <v>45</v>
      </c>
      <c r="E390" t="s">
        <v>110</v>
      </c>
      <c r="F390">
        <v>1</v>
      </c>
      <c r="G390" t="s">
        <v>83</v>
      </c>
      <c r="H390" s="23">
        <v>25291</v>
      </c>
      <c r="I390" s="23">
        <v>0</v>
      </c>
      <c r="J390">
        <v>794</v>
      </c>
      <c r="K390" t="s">
        <v>119</v>
      </c>
      <c r="L390" s="23">
        <v>570000</v>
      </c>
      <c r="M390">
        <v>48</v>
      </c>
      <c r="N390">
        <v>11.94</v>
      </c>
      <c r="O390">
        <v>3</v>
      </c>
      <c r="P390">
        <v>3</v>
      </c>
      <c r="Q390" t="s">
        <v>85</v>
      </c>
    </row>
    <row r="391" customHeight="1" spans="1:17">
      <c r="A391" t="s">
        <v>844</v>
      </c>
      <c r="B391" t="s">
        <v>440</v>
      </c>
      <c r="C391" t="s">
        <v>81</v>
      </c>
      <c r="D391">
        <v>47</v>
      </c>
      <c r="E391" t="s">
        <v>94</v>
      </c>
      <c r="F391">
        <v>1</v>
      </c>
      <c r="G391" t="s">
        <v>83</v>
      </c>
      <c r="H391" s="23">
        <v>23192</v>
      </c>
      <c r="I391" s="23">
        <v>3529</v>
      </c>
      <c r="J391">
        <v>798</v>
      </c>
      <c r="K391" t="s">
        <v>119</v>
      </c>
      <c r="L391" s="23">
        <v>490000</v>
      </c>
      <c r="M391">
        <v>48</v>
      </c>
      <c r="N391">
        <v>10.7</v>
      </c>
      <c r="O391">
        <v>1</v>
      </c>
      <c r="P391">
        <v>1</v>
      </c>
      <c r="Q391" t="s">
        <v>85</v>
      </c>
    </row>
    <row r="392" customHeight="1" spans="1:17">
      <c r="A392" t="s">
        <v>845</v>
      </c>
      <c r="B392" t="s">
        <v>186</v>
      </c>
      <c r="C392" t="s">
        <v>109</v>
      </c>
      <c r="D392">
        <v>28</v>
      </c>
      <c r="E392" t="s">
        <v>182</v>
      </c>
      <c r="F392">
        <v>1</v>
      </c>
      <c r="G392" t="s">
        <v>103</v>
      </c>
      <c r="H392" s="23">
        <v>47458</v>
      </c>
      <c r="I392" s="23">
        <v>0</v>
      </c>
      <c r="J392">
        <v>796</v>
      </c>
      <c r="K392" t="s">
        <v>131</v>
      </c>
      <c r="L392" s="23">
        <v>200000</v>
      </c>
      <c r="M392">
        <v>36</v>
      </c>
      <c r="N392">
        <v>14.32</v>
      </c>
      <c r="O392">
        <v>3</v>
      </c>
      <c r="P392">
        <v>0</v>
      </c>
      <c r="Q392" t="s">
        <v>85</v>
      </c>
    </row>
    <row r="393" customHeight="1" spans="1:17">
      <c r="A393" t="s">
        <v>846</v>
      </c>
      <c r="B393" t="s">
        <v>847</v>
      </c>
      <c r="C393" t="s">
        <v>109</v>
      </c>
      <c r="D393">
        <v>50</v>
      </c>
      <c r="E393" t="s">
        <v>157</v>
      </c>
      <c r="F393">
        <v>2</v>
      </c>
      <c r="G393" t="s">
        <v>83</v>
      </c>
      <c r="H393" s="23">
        <v>83668</v>
      </c>
      <c r="I393" s="23">
        <v>0</v>
      </c>
      <c r="J393">
        <v>701</v>
      </c>
      <c r="K393" t="s">
        <v>131</v>
      </c>
      <c r="L393" s="23">
        <v>280000</v>
      </c>
      <c r="M393">
        <v>36</v>
      </c>
      <c r="N393">
        <v>13.69</v>
      </c>
      <c r="O393">
        <v>1</v>
      </c>
      <c r="P393">
        <v>1</v>
      </c>
      <c r="Q393" t="s">
        <v>85</v>
      </c>
    </row>
    <row r="394" customHeight="1" spans="1:17">
      <c r="A394" t="s">
        <v>848</v>
      </c>
      <c r="B394" t="s">
        <v>836</v>
      </c>
      <c r="C394" t="s">
        <v>109</v>
      </c>
      <c r="D394">
        <v>47</v>
      </c>
      <c r="E394" t="s">
        <v>138</v>
      </c>
      <c r="F394">
        <v>1</v>
      </c>
      <c r="G394" t="s">
        <v>116</v>
      </c>
      <c r="H394" s="23">
        <v>144830</v>
      </c>
      <c r="I394" s="23">
        <v>0</v>
      </c>
      <c r="J394">
        <v>690</v>
      </c>
      <c r="K394" t="s">
        <v>131</v>
      </c>
      <c r="L394" s="23">
        <v>290000</v>
      </c>
      <c r="M394">
        <v>36</v>
      </c>
      <c r="N394">
        <v>14.14</v>
      </c>
      <c r="O394">
        <v>0</v>
      </c>
      <c r="P394">
        <v>0</v>
      </c>
      <c r="Q394" t="s">
        <v>85</v>
      </c>
    </row>
    <row r="395" customHeight="1" spans="1:17">
      <c r="A395" t="s">
        <v>849</v>
      </c>
      <c r="B395" t="s">
        <v>850</v>
      </c>
      <c r="C395" t="s">
        <v>81</v>
      </c>
      <c r="D395">
        <v>21</v>
      </c>
      <c r="E395" t="s">
        <v>138</v>
      </c>
      <c r="F395">
        <v>1</v>
      </c>
      <c r="G395" t="s">
        <v>89</v>
      </c>
      <c r="H395" s="23">
        <v>65372</v>
      </c>
      <c r="I395" s="23">
        <v>0</v>
      </c>
      <c r="J395">
        <v>654</v>
      </c>
      <c r="K395" t="s">
        <v>90</v>
      </c>
      <c r="L395" s="23">
        <v>970000</v>
      </c>
      <c r="M395">
        <v>60</v>
      </c>
      <c r="N395">
        <v>9.93</v>
      </c>
      <c r="O395">
        <v>2</v>
      </c>
      <c r="P395">
        <v>1</v>
      </c>
      <c r="Q395" t="s">
        <v>85</v>
      </c>
    </row>
    <row r="396" customHeight="1" spans="1:17">
      <c r="A396" t="s">
        <v>851</v>
      </c>
      <c r="B396" t="s">
        <v>852</v>
      </c>
      <c r="C396" t="s">
        <v>109</v>
      </c>
      <c r="D396">
        <v>41</v>
      </c>
      <c r="E396" t="s">
        <v>149</v>
      </c>
      <c r="F396">
        <v>1</v>
      </c>
      <c r="G396" t="s">
        <v>83</v>
      </c>
      <c r="H396" s="23">
        <v>56389</v>
      </c>
      <c r="I396" s="23">
        <v>7202</v>
      </c>
      <c r="J396">
        <v>671</v>
      </c>
      <c r="K396" t="s">
        <v>125</v>
      </c>
      <c r="L396" s="23">
        <v>5370000</v>
      </c>
      <c r="M396">
        <v>240</v>
      </c>
      <c r="N396">
        <v>9.21</v>
      </c>
      <c r="O396">
        <v>5</v>
      </c>
      <c r="P396">
        <v>1</v>
      </c>
      <c r="Q396" t="s">
        <v>91</v>
      </c>
    </row>
    <row r="397" customHeight="1" spans="1:17">
      <c r="A397" t="s">
        <v>853</v>
      </c>
      <c r="B397" t="s">
        <v>570</v>
      </c>
      <c r="C397" t="s">
        <v>109</v>
      </c>
      <c r="D397">
        <v>36</v>
      </c>
      <c r="E397" t="s">
        <v>98</v>
      </c>
      <c r="F397">
        <v>2</v>
      </c>
      <c r="G397" t="s">
        <v>103</v>
      </c>
      <c r="H397" s="23">
        <v>47607</v>
      </c>
      <c r="I397" s="23">
        <v>0</v>
      </c>
      <c r="J397">
        <v>721</v>
      </c>
      <c r="K397" t="s">
        <v>84</v>
      </c>
      <c r="L397" s="23">
        <v>920000</v>
      </c>
      <c r="M397">
        <v>84</v>
      </c>
      <c r="N397">
        <v>11.3</v>
      </c>
      <c r="O397">
        <v>6</v>
      </c>
      <c r="P397">
        <v>0</v>
      </c>
      <c r="Q397" t="s">
        <v>85</v>
      </c>
    </row>
    <row r="398" customHeight="1" spans="1:17">
      <c r="A398" t="s">
        <v>854</v>
      </c>
      <c r="B398" t="s">
        <v>855</v>
      </c>
      <c r="C398" t="s">
        <v>109</v>
      </c>
      <c r="D398">
        <v>41</v>
      </c>
      <c r="E398" t="s">
        <v>128</v>
      </c>
      <c r="F398">
        <v>2</v>
      </c>
      <c r="G398" t="s">
        <v>83</v>
      </c>
      <c r="H398" s="23">
        <v>111175</v>
      </c>
      <c r="I398" s="23">
        <v>0</v>
      </c>
      <c r="J398">
        <v>709</v>
      </c>
      <c r="K398" t="s">
        <v>131</v>
      </c>
      <c r="L398" s="23">
        <v>300000</v>
      </c>
      <c r="M398">
        <v>36</v>
      </c>
      <c r="N398">
        <v>13.12</v>
      </c>
      <c r="O398">
        <v>5</v>
      </c>
      <c r="P398">
        <v>4</v>
      </c>
      <c r="Q398" t="s">
        <v>85</v>
      </c>
    </row>
    <row r="399" customHeight="1" spans="1:17">
      <c r="A399" t="s">
        <v>856</v>
      </c>
      <c r="B399" t="s">
        <v>207</v>
      </c>
      <c r="C399" t="s">
        <v>81</v>
      </c>
      <c r="D399">
        <v>39</v>
      </c>
      <c r="E399" t="s">
        <v>122</v>
      </c>
      <c r="F399">
        <v>2</v>
      </c>
      <c r="G399" t="s">
        <v>103</v>
      </c>
      <c r="H399" s="23">
        <v>94680</v>
      </c>
      <c r="I399" s="23">
        <v>0</v>
      </c>
      <c r="J399">
        <v>686</v>
      </c>
      <c r="K399" t="s">
        <v>131</v>
      </c>
      <c r="L399" s="23">
        <v>370000</v>
      </c>
      <c r="M399">
        <v>36</v>
      </c>
      <c r="N399">
        <v>13.2</v>
      </c>
      <c r="O399">
        <v>1</v>
      </c>
      <c r="P399">
        <v>3</v>
      </c>
      <c r="Q399" t="s">
        <v>85</v>
      </c>
    </row>
    <row r="400" customHeight="1" spans="1:17">
      <c r="A400" t="s">
        <v>857</v>
      </c>
      <c r="B400" t="s">
        <v>858</v>
      </c>
      <c r="C400" t="s">
        <v>109</v>
      </c>
      <c r="D400">
        <v>48</v>
      </c>
      <c r="E400" t="s">
        <v>128</v>
      </c>
      <c r="F400">
        <v>2</v>
      </c>
      <c r="G400" t="s">
        <v>83</v>
      </c>
      <c r="H400" s="23">
        <v>69653</v>
      </c>
      <c r="I400" s="23">
        <v>29060</v>
      </c>
      <c r="J400">
        <v>723</v>
      </c>
      <c r="K400" t="s">
        <v>95</v>
      </c>
      <c r="L400" s="23">
        <v>680000</v>
      </c>
      <c r="M400">
        <v>60</v>
      </c>
      <c r="N400">
        <v>14.02</v>
      </c>
      <c r="O400">
        <v>1</v>
      </c>
      <c r="P400">
        <v>2</v>
      </c>
      <c r="Q400" t="s">
        <v>85</v>
      </c>
    </row>
    <row r="401" customHeight="1" spans="1:17">
      <c r="A401" t="s">
        <v>859</v>
      </c>
      <c r="B401" t="s">
        <v>860</v>
      </c>
      <c r="C401" t="s">
        <v>109</v>
      </c>
      <c r="D401">
        <v>42</v>
      </c>
      <c r="E401" t="s">
        <v>88</v>
      </c>
      <c r="F401">
        <v>3</v>
      </c>
      <c r="G401" t="s">
        <v>83</v>
      </c>
      <c r="H401" s="23">
        <v>31355</v>
      </c>
      <c r="I401" s="23">
        <v>10167</v>
      </c>
      <c r="J401">
        <v>767</v>
      </c>
      <c r="K401" t="s">
        <v>90</v>
      </c>
      <c r="L401" s="23">
        <v>650000</v>
      </c>
      <c r="M401">
        <v>60</v>
      </c>
      <c r="N401">
        <v>9.49</v>
      </c>
      <c r="O401">
        <v>2</v>
      </c>
      <c r="P401">
        <v>2</v>
      </c>
      <c r="Q401" t="s">
        <v>85</v>
      </c>
    </row>
    <row r="402" customHeight="1" spans="1:17">
      <c r="A402" t="s">
        <v>861</v>
      </c>
      <c r="B402" t="s">
        <v>468</v>
      </c>
      <c r="C402" t="s">
        <v>81</v>
      </c>
      <c r="D402">
        <v>38</v>
      </c>
      <c r="E402" t="s">
        <v>172</v>
      </c>
      <c r="F402">
        <v>2</v>
      </c>
      <c r="G402" t="s">
        <v>116</v>
      </c>
      <c r="H402" s="23">
        <v>52524</v>
      </c>
      <c r="I402" s="23">
        <v>20064</v>
      </c>
      <c r="J402">
        <v>746</v>
      </c>
      <c r="K402" t="s">
        <v>131</v>
      </c>
      <c r="L402" s="23">
        <v>220000</v>
      </c>
      <c r="M402">
        <v>36</v>
      </c>
      <c r="N402">
        <v>14.59</v>
      </c>
      <c r="O402">
        <v>2</v>
      </c>
      <c r="P402">
        <v>0</v>
      </c>
      <c r="Q402" t="s">
        <v>85</v>
      </c>
    </row>
    <row r="403" customHeight="1" spans="1:17">
      <c r="A403" t="s">
        <v>862</v>
      </c>
      <c r="B403" t="s">
        <v>863</v>
      </c>
      <c r="C403" t="s">
        <v>81</v>
      </c>
      <c r="D403">
        <v>33</v>
      </c>
      <c r="E403" t="s">
        <v>169</v>
      </c>
      <c r="F403">
        <v>3</v>
      </c>
      <c r="G403" t="s">
        <v>89</v>
      </c>
      <c r="H403" s="23">
        <v>25911</v>
      </c>
      <c r="I403" s="23">
        <v>0</v>
      </c>
      <c r="J403">
        <v>748</v>
      </c>
      <c r="K403" t="s">
        <v>84</v>
      </c>
      <c r="L403" s="23">
        <v>1220000</v>
      </c>
      <c r="M403">
        <v>84</v>
      </c>
      <c r="N403">
        <v>10.4</v>
      </c>
      <c r="O403">
        <v>1</v>
      </c>
      <c r="P403">
        <v>2</v>
      </c>
      <c r="Q403" t="s">
        <v>85</v>
      </c>
    </row>
    <row r="404" customHeight="1" spans="1:17">
      <c r="A404" t="s">
        <v>864</v>
      </c>
      <c r="B404" t="s">
        <v>865</v>
      </c>
      <c r="C404" t="s">
        <v>109</v>
      </c>
      <c r="D404">
        <v>29</v>
      </c>
      <c r="E404" t="s">
        <v>237</v>
      </c>
      <c r="F404">
        <v>1</v>
      </c>
      <c r="G404" t="s">
        <v>116</v>
      </c>
      <c r="H404" s="23">
        <v>28780</v>
      </c>
      <c r="I404" s="23">
        <v>0</v>
      </c>
      <c r="J404">
        <v>717</v>
      </c>
      <c r="K404" t="s">
        <v>119</v>
      </c>
      <c r="L404" s="23">
        <v>540000</v>
      </c>
      <c r="M404">
        <v>48</v>
      </c>
      <c r="N404">
        <v>10.86</v>
      </c>
      <c r="O404">
        <v>4</v>
      </c>
      <c r="P404">
        <v>2</v>
      </c>
      <c r="Q404" t="s">
        <v>85</v>
      </c>
    </row>
    <row r="405" customHeight="1" spans="1:17">
      <c r="A405" t="s">
        <v>866</v>
      </c>
      <c r="B405" t="s">
        <v>867</v>
      </c>
      <c r="C405" t="s">
        <v>81</v>
      </c>
      <c r="D405">
        <v>40</v>
      </c>
      <c r="E405" t="s">
        <v>172</v>
      </c>
      <c r="F405">
        <v>2</v>
      </c>
      <c r="G405" t="s">
        <v>116</v>
      </c>
      <c r="H405" s="23">
        <v>53508</v>
      </c>
      <c r="I405" s="23">
        <v>17568</v>
      </c>
      <c r="J405">
        <v>766</v>
      </c>
      <c r="K405" t="s">
        <v>84</v>
      </c>
      <c r="L405" s="23">
        <v>310000</v>
      </c>
      <c r="M405">
        <v>84</v>
      </c>
      <c r="N405">
        <v>11.2</v>
      </c>
      <c r="O405">
        <v>1</v>
      </c>
      <c r="P405">
        <v>3</v>
      </c>
      <c r="Q405" t="s">
        <v>85</v>
      </c>
    </row>
    <row r="406" customHeight="1" spans="1:17">
      <c r="A406" t="s">
        <v>868</v>
      </c>
      <c r="B406" t="s">
        <v>478</v>
      </c>
      <c r="C406" t="s">
        <v>109</v>
      </c>
      <c r="D406">
        <v>35</v>
      </c>
      <c r="E406" t="s">
        <v>152</v>
      </c>
      <c r="F406">
        <v>1</v>
      </c>
      <c r="G406" t="s">
        <v>89</v>
      </c>
      <c r="H406" s="23">
        <v>64461</v>
      </c>
      <c r="I406" s="23">
        <v>11400</v>
      </c>
      <c r="J406">
        <v>686</v>
      </c>
      <c r="K406" t="s">
        <v>90</v>
      </c>
      <c r="L406" s="23">
        <v>940000</v>
      </c>
      <c r="M406">
        <v>60</v>
      </c>
      <c r="N406">
        <v>10.33</v>
      </c>
      <c r="O406">
        <v>10</v>
      </c>
      <c r="P406">
        <v>4</v>
      </c>
      <c r="Q406" t="s">
        <v>91</v>
      </c>
    </row>
    <row r="407" customHeight="1" spans="1:17">
      <c r="A407" t="s">
        <v>869</v>
      </c>
      <c r="B407" t="s">
        <v>870</v>
      </c>
      <c r="C407" t="s">
        <v>109</v>
      </c>
      <c r="D407">
        <v>45</v>
      </c>
      <c r="E407" t="s">
        <v>182</v>
      </c>
      <c r="F407">
        <v>1</v>
      </c>
      <c r="G407" t="s">
        <v>83</v>
      </c>
      <c r="H407" s="23">
        <v>83250</v>
      </c>
      <c r="I407" s="23">
        <v>0</v>
      </c>
      <c r="J407">
        <v>604</v>
      </c>
      <c r="K407" t="s">
        <v>95</v>
      </c>
      <c r="L407" s="23">
        <v>1560000</v>
      </c>
      <c r="M407">
        <v>60</v>
      </c>
      <c r="N407">
        <v>13.79</v>
      </c>
      <c r="O407">
        <v>2</v>
      </c>
      <c r="P407">
        <v>2</v>
      </c>
      <c r="Q407" t="s">
        <v>91</v>
      </c>
    </row>
    <row r="408" customHeight="1" spans="1:17">
      <c r="A408" t="s">
        <v>871</v>
      </c>
      <c r="B408" t="s">
        <v>466</v>
      </c>
      <c r="C408" t="s">
        <v>109</v>
      </c>
      <c r="D408">
        <v>29</v>
      </c>
      <c r="E408" t="s">
        <v>94</v>
      </c>
      <c r="F408">
        <v>1</v>
      </c>
      <c r="G408" t="s">
        <v>89</v>
      </c>
      <c r="H408" s="23">
        <v>44347</v>
      </c>
      <c r="I408" s="23">
        <v>18213</v>
      </c>
      <c r="J408">
        <v>719</v>
      </c>
      <c r="K408" t="s">
        <v>90</v>
      </c>
      <c r="L408" s="23">
        <v>360000</v>
      </c>
      <c r="M408">
        <v>60</v>
      </c>
      <c r="N408">
        <v>9.16</v>
      </c>
      <c r="O408">
        <v>11</v>
      </c>
      <c r="P408">
        <v>1</v>
      </c>
      <c r="Q408" t="s">
        <v>85</v>
      </c>
    </row>
    <row r="409" customHeight="1" spans="1:17">
      <c r="A409" t="s">
        <v>872</v>
      </c>
      <c r="B409" t="s">
        <v>496</v>
      </c>
      <c r="C409" t="s">
        <v>81</v>
      </c>
      <c r="D409">
        <v>30</v>
      </c>
      <c r="E409" t="s">
        <v>128</v>
      </c>
      <c r="F409">
        <v>2</v>
      </c>
      <c r="G409" t="s">
        <v>83</v>
      </c>
      <c r="H409" s="23">
        <v>48481</v>
      </c>
      <c r="I409" s="23">
        <v>0</v>
      </c>
      <c r="J409">
        <v>725</v>
      </c>
      <c r="K409" t="s">
        <v>131</v>
      </c>
      <c r="L409" s="23">
        <v>270000</v>
      </c>
      <c r="M409">
        <v>36</v>
      </c>
      <c r="N409">
        <v>14.58</v>
      </c>
      <c r="O409">
        <v>4</v>
      </c>
      <c r="P409">
        <v>0</v>
      </c>
      <c r="Q409" t="s">
        <v>85</v>
      </c>
    </row>
    <row r="410" customHeight="1" spans="1:17">
      <c r="A410" t="s">
        <v>873</v>
      </c>
      <c r="B410" t="s">
        <v>874</v>
      </c>
      <c r="C410" t="s">
        <v>109</v>
      </c>
      <c r="D410">
        <v>34</v>
      </c>
      <c r="E410" t="s">
        <v>152</v>
      </c>
      <c r="F410">
        <v>1</v>
      </c>
      <c r="G410" t="s">
        <v>89</v>
      </c>
      <c r="H410" s="23">
        <v>113472</v>
      </c>
      <c r="I410" s="23">
        <v>0</v>
      </c>
      <c r="J410">
        <v>747</v>
      </c>
      <c r="K410" t="s">
        <v>95</v>
      </c>
      <c r="L410" s="23">
        <v>1070000</v>
      </c>
      <c r="M410">
        <v>60</v>
      </c>
      <c r="N410">
        <v>14.08</v>
      </c>
      <c r="O410">
        <v>0</v>
      </c>
      <c r="P410">
        <v>2</v>
      </c>
      <c r="Q410" t="s">
        <v>85</v>
      </c>
    </row>
    <row r="411" customHeight="1" spans="1:17">
      <c r="A411" t="s">
        <v>875</v>
      </c>
      <c r="B411" t="s">
        <v>876</v>
      </c>
      <c r="C411" t="s">
        <v>81</v>
      </c>
      <c r="D411">
        <v>22</v>
      </c>
      <c r="E411" t="s">
        <v>82</v>
      </c>
      <c r="F411">
        <v>2</v>
      </c>
      <c r="G411" t="s">
        <v>89</v>
      </c>
      <c r="H411" s="23">
        <v>42772</v>
      </c>
      <c r="I411" s="23">
        <v>5629</v>
      </c>
      <c r="J411">
        <v>723</v>
      </c>
      <c r="K411" t="s">
        <v>95</v>
      </c>
      <c r="L411" s="23">
        <v>1700000</v>
      </c>
      <c r="M411">
        <v>60</v>
      </c>
      <c r="N411">
        <v>15.04</v>
      </c>
      <c r="O411">
        <v>0</v>
      </c>
      <c r="P411">
        <v>4</v>
      </c>
      <c r="Q411" t="s">
        <v>85</v>
      </c>
    </row>
    <row r="412" customHeight="1" spans="1:17">
      <c r="A412" t="s">
        <v>877</v>
      </c>
      <c r="B412" t="s">
        <v>222</v>
      </c>
      <c r="C412" t="s">
        <v>81</v>
      </c>
      <c r="D412">
        <v>49</v>
      </c>
      <c r="E412" t="s">
        <v>149</v>
      </c>
      <c r="F412">
        <v>1</v>
      </c>
      <c r="G412" t="s">
        <v>83</v>
      </c>
      <c r="H412" s="23">
        <v>28906</v>
      </c>
      <c r="I412" s="23">
        <v>0</v>
      </c>
      <c r="J412">
        <v>597</v>
      </c>
      <c r="K412" t="s">
        <v>95</v>
      </c>
      <c r="L412" s="23">
        <v>1400000</v>
      </c>
      <c r="M412">
        <v>60</v>
      </c>
      <c r="N412">
        <v>13.61</v>
      </c>
      <c r="O412">
        <v>6</v>
      </c>
      <c r="P412">
        <v>1</v>
      </c>
      <c r="Q412" t="s">
        <v>91</v>
      </c>
    </row>
    <row r="413" customHeight="1" spans="1:17">
      <c r="A413" t="s">
        <v>878</v>
      </c>
      <c r="B413" t="s">
        <v>879</v>
      </c>
      <c r="C413" t="s">
        <v>109</v>
      </c>
      <c r="D413">
        <v>23</v>
      </c>
      <c r="E413" t="s">
        <v>169</v>
      </c>
      <c r="F413">
        <v>3</v>
      </c>
      <c r="G413" t="s">
        <v>89</v>
      </c>
      <c r="H413" s="23">
        <v>50268</v>
      </c>
      <c r="I413" s="23">
        <v>0</v>
      </c>
      <c r="J413">
        <v>583</v>
      </c>
      <c r="K413" t="s">
        <v>90</v>
      </c>
      <c r="L413" s="23">
        <v>790000</v>
      </c>
      <c r="M413">
        <v>60</v>
      </c>
      <c r="N413">
        <v>10.31</v>
      </c>
      <c r="O413">
        <v>0</v>
      </c>
      <c r="P413">
        <v>2</v>
      </c>
      <c r="Q413" t="s">
        <v>85</v>
      </c>
    </row>
    <row r="414" customHeight="1" spans="1:17">
      <c r="A414" t="s">
        <v>880</v>
      </c>
      <c r="B414" t="s">
        <v>881</v>
      </c>
      <c r="C414" t="s">
        <v>81</v>
      </c>
      <c r="D414">
        <v>39</v>
      </c>
      <c r="E414" t="s">
        <v>82</v>
      </c>
      <c r="F414">
        <v>2</v>
      </c>
      <c r="G414" t="s">
        <v>116</v>
      </c>
      <c r="H414" s="23">
        <v>38644</v>
      </c>
      <c r="I414" s="23">
        <v>4249</v>
      </c>
      <c r="J414">
        <v>767</v>
      </c>
      <c r="K414" t="s">
        <v>90</v>
      </c>
      <c r="L414" s="23">
        <v>980000</v>
      </c>
      <c r="M414">
        <v>60</v>
      </c>
      <c r="N414">
        <v>10.22</v>
      </c>
      <c r="O414">
        <v>9</v>
      </c>
      <c r="P414">
        <v>1</v>
      </c>
      <c r="Q414" t="s">
        <v>85</v>
      </c>
    </row>
    <row r="415" customHeight="1" spans="1:17">
      <c r="A415" t="s">
        <v>882</v>
      </c>
      <c r="B415" t="s">
        <v>883</v>
      </c>
      <c r="C415" t="s">
        <v>109</v>
      </c>
      <c r="D415">
        <v>44</v>
      </c>
      <c r="E415" t="s">
        <v>98</v>
      </c>
      <c r="F415">
        <v>2</v>
      </c>
      <c r="G415" t="s">
        <v>83</v>
      </c>
      <c r="H415" s="23">
        <v>20020</v>
      </c>
      <c r="I415" s="23">
        <v>0</v>
      </c>
      <c r="J415">
        <v>737</v>
      </c>
      <c r="K415" t="s">
        <v>119</v>
      </c>
      <c r="L415" s="23">
        <v>260000</v>
      </c>
      <c r="M415">
        <v>48</v>
      </c>
      <c r="N415">
        <v>11.23</v>
      </c>
      <c r="O415">
        <v>3</v>
      </c>
      <c r="P415">
        <v>2</v>
      </c>
      <c r="Q415" t="s">
        <v>85</v>
      </c>
    </row>
    <row r="416" customHeight="1" spans="1:17">
      <c r="A416" t="s">
        <v>884</v>
      </c>
      <c r="B416" t="s">
        <v>885</v>
      </c>
      <c r="C416" t="s">
        <v>109</v>
      </c>
      <c r="D416">
        <v>42</v>
      </c>
      <c r="E416" t="s">
        <v>94</v>
      </c>
      <c r="F416">
        <v>1</v>
      </c>
      <c r="G416" t="s">
        <v>116</v>
      </c>
      <c r="H416" s="23">
        <v>42742</v>
      </c>
      <c r="I416" s="23">
        <v>7689</v>
      </c>
      <c r="J416">
        <v>682</v>
      </c>
      <c r="K416" t="s">
        <v>131</v>
      </c>
      <c r="L416" s="23">
        <v>140000</v>
      </c>
      <c r="M416">
        <v>36</v>
      </c>
      <c r="N416">
        <v>14.57</v>
      </c>
      <c r="O416">
        <v>1</v>
      </c>
      <c r="P416">
        <v>2</v>
      </c>
      <c r="Q416" t="s">
        <v>85</v>
      </c>
    </row>
    <row r="417" customHeight="1" spans="1:17">
      <c r="A417" t="s">
        <v>886</v>
      </c>
      <c r="B417" t="s">
        <v>887</v>
      </c>
      <c r="C417" t="s">
        <v>81</v>
      </c>
      <c r="D417">
        <v>42</v>
      </c>
      <c r="E417" t="s">
        <v>82</v>
      </c>
      <c r="F417">
        <v>2</v>
      </c>
      <c r="G417" t="s">
        <v>116</v>
      </c>
      <c r="H417" s="23">
        <v>51738</v>
      </c>
      <c r="I417" s="23">
        <v>11323</v>
      </c>
      <c r="J417">
        <v>740</v>
      </c>
      <c r="K417" t="s">
        <v>84</v>
      </c>
      <c r="L417" s="23">
        <v>410000</v>
      </c>
      <c r="M417">
        <v>84</v>
      </c>
      <c r="N417">
        <v>10.83</v>
      </c>
      <c r="O417">
        <v>1</v>
      </c>
      <c r="P417">
        <v>4</v>
      </c>
      <c r="Q417" t="s">
        <v>85</v>
      </c>
    </row>
    <row r="418" customHeight="1" spans="1:17">
      <c r="A418" t="s">
        <v>888</v>
      </c>
      <c r="B418" t="s">
        <v>889</v>
      </c>
      <c r="C418" t="s">
        <v>109</v>
      </c>
      <c r="D418">
        <v>30</v>
      </c>
      <c r="E418" t="s">
        <v>138</v>
      </c>
      <c r="F418">
        <v>1</v>
      </c>
      <c r="G418" t="s">
        <v>83</v>
      </c>
      <c r="H418" s="23">
        <v>47003</v>
      </c>
      <c r="I418" s="23">
        <v>1658</v>
      </c>
      <c r="J418">
        <v>638</v>
      </c>
      <c r="K418" t="s">
        <v>95</v>
      </c>
      <c r="L418" s="23">
        <v>1550000</v>
      </c>
      <c r="M418">
        <v>60</v>
      </c>
      <c r="N418">
        <v>13.89</v>
      </c>
      <c r="O418">
        <v>4</v>
      </c>
      <c r="P418">
        <v>0</v>
      </c>
      <c r="Q418" t="s">
        <v>85</v>
      </c>
    </row>
    <row r="419" customHeight="1" spans="1:17">
      <c r="A419" t="s">
        <v>890</v>
      </c>
      <c r="B419" t="s">
        <v>127</v>
      </c>
      <c r="C419" t="s">
        <v>109</v>
      </c>
      <c r="D419">
        <v>43</v>
      </c>
      <c r="E419" t="s">
        <v>237</v>
      </c>
      <c r="F419">
        <v>1</v>
      </c>
      <c r="G419" t="s">
        <v>83</v>
      </c>
      <c r="H419" s="23">
        <v>36062</v>
      </c>
      <c r="I419" s="23">
        <v>4787</v>
      </c>
      <c r="J419">
        <v>736</v>
      </c>
      <c r="K419" t="s">
        <v>125</v>
      </c>
      <c r="L419" s="23">
        <v>3630000</v>
      </c>
      <c r="M419">
        <v>240</v>
      </c>
      <c r="N419">
        <v>8.77</v>
      </c>
      <c r="O419">
        <v>3</v>
      </c>
      <c r="P419">
        <v>2</v>
      </c>
      <c r="Q419" t="s">
        <v>85</v>
      </c>
    </row>
    <row r="420" customHeight="1" spans="1:17">
      <c r="A420" t="s">
        <v>891</v>
      </c>
      <c r="B420" t="s">
        <v>892</v>
      </c>
      <c r="C420" t="s">
        <v>81</v>
      </c>
      <c r="D420">
        <v>48</v>
      </c>
      <c r="E420" t="s">
        <v>122</v>
      </c>
      <c r="F420">
        <v>2</v>
      </c>
      <c r="G420" t="s">
        <v>89</v>
      </c>
      <c r="H420" s="23">
        <v>67184</v>
      </c>
      <c r="I420" s="23">
        <v>20541</v>
      </c>
      <c r="J420">
        <v>819</v>
      </c>
      <c r="K420" t="s">
        <v>90</v>
      </c>
      <c r="L420" s="23">
        <v>990000</v>
      </c>
      <c r="M420">
        <v>60</v>
      </c>
      <c r="N420">
        <v>10.4</v>
      </c>
      <c r="O420">
        <v>5</v>
      </c>
      <c r="P420">
        <v>3</v>
      </c>
      <c r="Q420" t="s">
        <v>85</v>
      </c>
    </row>
    <row r="421" customHeight="1" spans="1:17">
      <c r="A421" t="s">
        <v>893</v>
      </c>
      <c r="B421" t="s">
        <v>894</v>
      </c>
      <c r="C421" t="s">
        <v>109</v>
      </c>
      <c r="D421">
        <v>29</v>
      </c>
      <c r="E421" t="s">
        <v>162</v>
      </c>
      <c r="F421">
        <v>1</v>
      </c>
      <c r="G421" t="s">
        <v>103</v>
      </c>
      <c r="H421" s="23">
        <v>75492</v>
      </c>
      <c r="I421" s="23">
        <v>21550</v>
      </c>
      <c r="J421">
        <v>744</v>
      </c>
      <c r="K421" t="s">
        <v>84</v>
      </c>
      <c r="L421" s="23">
        <v>1210000</v>
      </c>
      <c r="M421">
        <v>84</v>
      </c>
      <c r="N421">
        <v>10.65</v>
      </c>
      <c r="O421">
        <v>3</v>
      </c>
      <c r="P421">
        <v>3</v>
      </c>
      <c r="Q421" t="s">
        <v>85</v>
      </c>
    </row>
    <row r="422" customHeight="1" spans="1:17">
      <c r="A422" t="s">
        <v>895</v>
      </c>
      <c r="B422" t="s">
        <v>896</v>
      </c>
      <c r="C422" t="s">
        <v>81</v>
      </c>
      <c r="D422">
        <v>30</v>
      </c>
      <c r="E422" t="s">
        <v>110</v>
      </c>
      <c r="F422">
        <v>1</v>
      </c>
      <c r="G422" t="s">
        <v>83</v>
      </c>
      <c r="H422" s="23">
        <v>31343</v>
      </c>
      <c r="I422" s="23">
        <v>0</v>
      </c>
      <c r="J422">
        <v>723</v>
      </c>
      <c r="K422" t="s">
        <v>131</v>
      </c>
      <c r="L422" s="23">
        <v>110000</v>
      </c>
      <c r="M422">
        <v>36</v>
      </c>
      <c r="N422">
        <v>13.59</v>
      </c>
      <c r="O422">
        <v>1</v>
      </c>
      <c r="P422">
        <v>3</v>
      </c>
      <c r="Q422" t="s">
        <v>85</v>
      </c>
    </row>
    <row r="423" customHeight="1" spans="1:17">
      <c r="A423" t="s">
        <v>897</v>
      </c>
      <c r="B423" t="s">
        <v>399</v>
      </c>
      <c r="C423" t="s">
        <v>81</v>
      </c>
      <c r="D423">
        <v>29</v>
      </c>
      <c r="E423" t="s">
        <v>152</v>
      </c>
      <c r="F423">
        <v>1</v>
      </c>
      <c r="G423" t="s">
        <v>83</v>
      </c>
      <c r="H423" s="23">
        <v>107940</v>
      </c>
      <c r="I423" s="23">
        <v>2395</v>
      </c>
      <c r="J423">
        <v>800</v>
      </c>
      <c r="K423" t="s">
        <v>90</v>
      </c>
      <c r="L423" s="23">
        <v>670000</v>
      </c>
      <c r="M423">
        <v>60</v>
      </c>
      <c r="N423">
        <v>9.4</v>
      </c>
      <c r="O423">
        <v>2</v>
      </c>
      <c r="P423">
        <v>0</v>
      </c>
      <c r="Q423" t="s">
        <v>85</v>
      </c>
    </row>
    <row r="424" customHeight="1" spans="1:17">
      <c r="A424" t="s">
        <v>898</v>
      </c>
      <c r="B424" t="s">
        <v>899</v>
      </c>
      <c r="C424" t="s">
        <v>109</v>
      </c>
      <c r="D424">
        <v>21</v>
      </c>
      <c r="E424" t="s">
        <v>214</v>
      </c>
      <c r="F424">
        <v>2</v>
      </c>
      <c r="G424" t="s">
        <v>116</v>
      </c>
      <c r="H424" s="23">
        <v>53873</v>
      </c>
      <c r="I424" s="23">
        <v>8813</v>
      </c>
      <c r="J424">
        <v>695</v>
      </c>
      <c r="K424" t="s">
        <v>84</v>
      </c>
      <c r="L424" s="23">
        <v>1020000</v>
      </c>
      <c r="M424">
        <v>84</v>
      </c>
      <c r="N424">
        <v>10.92</v>
      </c>
      <c r="O424">
        <v>2</v>
      </c>
      <c r="P424">
        <v>2</v>
      </c>
      <c r="Q424" t="s">
        <v>85</v>
      </c>
    </row>
    <row r="425" customHeight="1" spans="1:17">
      <c r="A425" t="s">
        <v>900</v>
      </c>
      <c r="B425" t="s">
        <v>901</v>
      </c>
      <c r="C425" t="s">
        <v>109</v>
      </c>
      <c r="D425">
        <v>62</v>
      </c>
      <c r="E425" t="s">
        <v>82</v>
      </c>
      <c r="F425">
        <v>2</v>
      </c>
      <c r="G425" t="s">
        <v>83</v>
      </c>
      <c r="H425" s="23">
        <v>124836</v>
      </c>
      <c r="I425" s="23">
        <v>0</v>
      </c>
      <c r="J425">
        <v>692</v>
      </c>
      <c r="K425" t="s">
        <v>84</v>
      </c>
      <c r="L425" s="23">
        <v>790000</v>
      </c>
      <c r="M425">
        <v>84</v>
      </c>
      <c r="N425">
        <v>11.5</v>
      </c>
      <c r="O425">
        <v>4</v>
      </c>
      <c r="P425">
        <v>2</v>
      </c>
      <c r="Q425" t="s">
        <v>85</v>
      </c>
    </row>
    <row r="426" customHeight="1" spans="1:17">
      <c r="A426" t="s">
        <v>902</v>
      </c>
      <c r="B426" t="s">
        <v>903</v>
      </c>
      <c r="C426" t="s">
        <v>109</v>
      </c>
      <c r="D426">
        <v>34</v>
      </c>
      <c r="E426" t="s">
        <v>152</v>
      </c>
      <c r="F426">
        <v>1</v>
      </c>
      <c r="G426" t="s">
        <v>83</v>
      </c>
      <c r="H426" s="23">
        <v>122661</v>
      </c>
      <c r="I426" s="23">
        <v>0</v>
      </c>
      <c r="J426">
        <v>752</v>
      </c>
      <c r="K426" t="s">
        <v>95</v>
      </c>
      <c r="L426" s="23">
        <v>380000</v>
      </c>
      <c r="M426">
        <v>60</v>
      </c>
      <c r="N426">
        <v>14.23</v>
      </c>
      <c r="O426">
        <v>3</v>
      </c>
      <c r="P426">
        <v>2</v>
      </c>
      <c r="Q426" t="s">
        <v>85</v>
      </c>
    </row>
    <row r="427" customHeight="1" spans="1:17">
      <c r="A427" t="s">
        <v>904</v>
      </c>
      <c r="B427" t="s">
        <v>905</v>
      </c>
      <c r="C427" t="s">
        <v>109</v>
      </c>
      <c r="D427">
        <v>48</v>
      </c>
      <c r="E427" t="s">
        <v>110</v>
      </c>
      <c r="F427">
        <v>1</v>
      </c>
      <c r="G427" t="s">
        <v>83</v>
      </c>
      <c r="H427" s="23">
        <v>83639</v>
      </c>
      <c r="I427" s="23">
        <v>0</v>
      </c>
      <c r="J427">
        <v>680</v>
      </c>
      <c r="K427" t="s">
        <v>95</v>
      </c>
      <c r="L427" s="23">
        <v>1480000</v>
      </c>
      <c r="M427">
        <v>60</v>
      </c>
      <c r="N427">
        <v>15.18</v>
      </c>
      <c r="O427">
        <v>2</v>
      </c>
      <c r="P427">
        <v>2</v>
      </c>
      <c r="Q427" t="s">
        <v>85</v>
      </c>
    </row>
    <row r="428" customHeight="1" spans="1:17">
      <c r="A428" t="s">
        <v>906</v>
      </c>
      <c r="B428" t="s">
        <v>907</v>
      </c>
      <c r="C428" t="s">
        <v>109</v>
      </c>
      <c r="D428">
        <v>36</v>
      </c>
      <c r="E428" t="s">
        <v>94</v>
      </c>
      <c r="F428">
        <v>1</v>
      </c>
      <c r="G428" t="s">
        <v>83</v>
      </c>
      <c r="H428" s="23">
        <v>157070</v>
      </c>
      <c r="I428" s="23">
        <v>20415</v>
      </c>
      <c r="J428">
        <v>711</v>
      </c>
      <c r="K428" t="s">
        <v>119</v>
      </c>
      <c r="L428" s="23">
        <v>780000</v>
      </c>
      <c r="M428">
        <v>48</v>
      </c>
      <c r="N428">
        <v>10.8</v>
      </c>
      <c r="O428">
        <v>6</v>
      </c>
      <c r="P428">
        <v>2</v>
      </c>
      <c r="Q428" t="s">
        <v>85</v>
      </c>
    </row>
    <row r="429" customHeight="1" spans="1:17">
      <c r="A429" t="s">
        <v>908</v>
      </c>
      <c r="B429" t="s">
        <v>909</v>
      </c>
      <c r="C429" t="s">
        <v>109</v>
      </c>
      <c r="D429">
        <v>37</v>
      </c>
      <c r="E429" t="s">
        <v>162</v>
      </c>
      <c r="F429">
        <v>1</v>
      </c>
      <c r="G429" t="s">
        <v>83</v>
      </c>
      <c r="H429" s="23">
        <v>25965</v>
      </c>
      <c r="I429" s="23">
        <v>5583</v>
      </c>
      <c r="J429">
        <v>759</v>
      </c>
      <c r="K429" t="s">
        <v>84</v>
      </c>
      <c r="L429" s="23">
        <v>1090000</v>
      </c>
      <c r="M429">
        <v>84</v>
      </c>
      <c r="N429">
        <v>10.17</v>
      </c>
      <c r="O429">
        <v>1</v>
      </c>
      <c r="P429">
        <v>4</v>
      </c>
      <c r="Q429" t="s">
        <v>85</v>
      </c>
    </row>
    <row r="430" customHeight="1" spans="1:17">
      <c r="A430" t="s">
        <v>910</v>
      </c>
      <c r="B430" t="s">
        <v>911</v>
      </c>
      <c r="C430" t="s">
        <v>81</v>
      </c>
      <c r="D430">
        <v>33</v>
      </c>
      <c r="E430" t="s">
        <v>157</v>
      </c>
      <c r="F430">
        <v>2</v>
      </c>
      <c r="G430" t="s">
        <v>83</v>
      </c>
      <c r="H430" s="23">
        <v>106297</v>
      </c>
      <c r="I430" s="23">
        <v>0</v>
      </c>
      <c r="J430">
        <v>773</v>
      </c>
      <c r="K430" t="s">
        <v>90</v>
      </c>
      <c r="L430" s="23">
        <v>490000</v>
      </c>
      <c r="M430">
        <v>60</v>
      </c>
      <c r="N430">
        <v>9.44</v>
      </c>
      <c r="O430">
        <v>3</v>
      </c>
      <c r="P430">
        <v>2</v>
      </c>
      <c r="Q430" t="s">
        <v>85</v>
      </c>
    </row>
    <row r="431" customHeight="1" spans="1:17">
      <c r="A431" t="s">
        <v>912</v>
      </c>
      <c r="B431" t="s">
        <v>270</v>
      </c>
      <c r="C431" t="s">
        <v>81</v>
      </c>
      <c r="D431">
        <v>39</v>
      </c>
      <c r="E431" t="s">
        <v>98</v>
      </c>
      <c r="F431">
        <v>2</v>
      </c>
      <c r="G431" t="s">
        <v>83</v>
      </c>
      <c r="H431" s="23">
        <v>61551</v>
      </c>
      <c r="I431" s="23">
        <v>0</v>
      </c>
      <c r="J431">
        <v>745</v>
      </c>
      <c r="K431" t="s">
        <v>90</v>
      </c>
      <c r="L431" s="23">
        <v>1050000</v>
      </c>
      <c r="M431">
        <v>60</v>
      </c>
      <c r="N431">
        <v>9.6</v>
      </c>
      <c r="O431">
        <v>1</v>
      </c>
      <c r="P431">
        <v>1</v>
      </c>
      <c r="Q431" t="s">
        <v>85</v>
      </c>
    </row>
    <row r="432" customHeight="1" spans="1:17">
      <c r="A432" t="s">
        <v>913</v>
      </c>
      <c r="B432" t="s">
        <v>914</v>
      </c>
      <c r="C432" t="s">
        <v>109</v>
      </c>
      <c r="D432">
        <v>21</v>
      </c>
      <c r="E432" t="s">
        <v>128</v>
      </c>
      <c r="F432">
        <v>2</v>
      </c>
      <c r="G432" t="s">
        <v>89</v>
      </c>
      <c r="H432" s="23">
        <v>22328</v>
      </c>
      <c r="I432" s="23">
        <v>0</v>
      </c>
      <c r="J432">
        <v>720</v>
      </c>
      <c r="K432" t="s">
        <v>95</v>
      </c>
      <c r="L432" s="23">
        <v>1500000</v>
      </c>
      <c r="M432">
        <v>60</v>
      </c>
      <c r="N432">
        <v>15.05</v>
      </c>
      <c r="O432">
        <v>8</v>
      </c>
      <c r="P432">
        <v>2</v>
      </c>
      <c r="Q432" t="s">
        <v>85</v>
      </c>
    </row>
    <row r="433" customHeight="1" spans="1:17">
      <c r="A433" t="s">
        <v>915</v>
      </c>
      <c r="B433" t="s">
        <v>916</v>
      </c>
      <c r="C433" t="s">
        <v>109</v>
      </c>
      <c r="D433">
        <v>28</v>
      </c>
      <c r="E433" t="s">
        <v>169</v>
      </c>
      <c r="F433">
        <v>3</v>
      </c>
      <c r="G433" t="s">
        <v>83</v>
      </c>
      <c r="H433" s="23">
        <v>61179</v>
      </c>
      <c r="I433" s="23">
        <v>1615</v>
      </c>
      <c r="J433">
        <v>687</v>
      </c>
      <c r="K433" t="s">
        <v>131</v>
      </c>
      <c r="L433" s="23">
        <v>100000</v>
      </c>
      <c r="M433">
        <v>36</v>
      </c>
      <c r="N433">
        <v>14.14</v>
      </c>
      <c r="O433">
        <v>1</v>
      </c>
      <c r="P433">
        <v>0</v>
      </c>
      <c r="Q433" t="s">
        <v>85</v>
      </c>
    </row>
    <row r="434" customHeight="1" spans="1:17">
      <c r="A434" t="s">
        <v>917</v>
      </c>
      <c r="B434" t="s">
        <v>889</v>
      </c>
      <c r="C434" t="s">
        <v>109</v>
      </c>
      <c r="D434">
        <v>39</v>
      </c>
      <c r="E434" t="s">
        <v>172</v>
      </c>
      <c r="F434">
        <v>2</v>
      </c>
      <c r="G434" t="s">
        <v>83</v>
      </c>
      <c r="H434" s="23">
        <v>51562</v>
      </c>
      <c r="I434" s="23">
        <v>7518</v>
      </c>
      <c r="J434">
        <v>630</v>
      </c>
      <c r="K434" t="s">
        <v>95</v>
      </c>
      <c r="L434" s="23">
        <v>1300000</v>
      </c>
      <c r="M434">
        <v>60</v>
      </c>
      <c r="N434">
        <v>14.92</v>
      </c>
      <c r="O434">
        <v>5</v>
      </c>
      <c r="P434">
        <v>0</v>
      </c>
      <c r="Q434" t="s">
        <v>85</v>
      </c>
    </row>
    <row r="435" customHeight="1" spans="1:17">
      <c r="A435" t="s">
        <v>918</v>
      </c>
      <c r="B435" t="s">
        <v>919</v>
      </c>
      <c r="C435" t="s">
        <v>81</v>
      </c>
      <c r="D435">
        <v>29</v>
      </c>
      <c r="E435" t="s">
        <v>94</v>
      </c>
      <c r="F435">
        <v>1</v>
      </c>
      <c r="G435" t="s">
        <v>83</v>
      </c>
      <c r="H435" s="23">
        <v>81795</v>
      </c>
      <c r="I435" s="23">
        <v>31287</v>
      </c>
      <c r="J435">
        <v>756</v>
      </c>
      <c r="K435" t="s">
        <v>84</v>
      </c>
      <c r="L435" s="23">
        <v>950000</v>
      </c>
      <c r="M435">
        <v>84</v>
      </c>
      <c r="N435">
        <v>10.96</v>
      </c>
      <c r="O435">
        <v>4</v>
      </c>
      <c r="P435">
        <v>0</v>
      </c>
      <c r="Q435" t="s">
        <v>85</v>
      </c>
    </row>
    <row r="436" customHeight="1" spans="1:17">
      <c r="A436" t="s">
        <v>920</v>
      </c>
      <c r="B436" t="s">
        <v>865</v>
      </c>
      <c r="C436" t="s">
        <v>109</v>
      </c>
      <c r="D436">
        <v>21</v>
      </c>
      <c r="E436" t="s">
        <v>82</v>
      </c>
      <c r="F436">
        <v>2</v>
      </c>
      <c r="G436" t="s">
        <v>83</v>
      </c>
      <c r="H436" s="23">
        <v>127530</v>
      </c>
      <c r="I436" s="23">
        <v>22061</v>
      </c>
      <c r="J436">
        <v>638</v>
      </c>
      <c r="K436" t="s">
        <v>90</v>
      </c>
      <c r="L436" s="23">
        <v>1010000</v>
      </c>
      <c r="M436">
        <v>60</v>
      </c>
      <c r="N436">
        <v>9.48</v>
      </c>
      <c r="O436">
        <v>5</v>
      </c>
      <c r="P436">
        <v>4</v>
      </c>
      <c r="Q436" t="s">
        <v>85</v>
      </c>
    </row>
    <row r="437" customHeight="1" spans="1:17">
      <c r="A437" t="s">
        <v>921</v>
      </c>
      <c r="B437" t="s">
        <v>535</v>
      </c>
      <c r="C437" t="s">
        <v>81</v>
      </c>
      <c r="D437">
        <v>21</v>
      </c>
      <c r="E437" t="s">
        <v>157</v>
      </c>
      <c r="F437">
        <v>2</v>
      </c>
      <c r="G437" t="s">
        <v>89</v>
      </c>
      <c r="H437" s="23">
        <v>172262</v>
      </c>
      <c r="I437" s="23">
        <v>64692</v>
      </c>
      <c r="J437">
        <v>653</v>
      </c>
      <c r="K437" t="s">
        <v>90</v>
      </c>
      <c r="L437" s="23">
        <v>290000</v>
      </c>
      <c r="M437">
        <v>60</v>
      </c>
      <c r="N437">
        <v>9.76</v>
      </c>
      <c r="O437">
        <v>2</v>
      </c>
      <c r="P437">
        <v>4</v>
      </c>
      <c r="Q437" t="s">
        <v>85</v>
      </c>
    </row>
    <row r="438" customHeight="1" spans="1:17">
      <c r="A438" t="s">
        <v>922</v>
      </c>
      <c r="B438" t="s">
        <v>568</v>
      </c>
      <c r="C438" t="s">
        <v>81</v>
      </c>
      <c r="D438">
        <v>32</v>
      </c>
      <c r="E438" t="s">
        <v>157</v>
      </c>
      <c r="F438">
        <v>2</v>
      </c>
      <c r="G438" t="s">
        <v>83</v>
      </c>
      <c r="H438" s="23">
        <v>59279</v>
      </c>
      <c r="I438" s="23">
        <v>0</v>
      </c>
      <c r="J438">
        <v>674</v>
      </c>
      <c r="K438" t="s">
        <v>125</v>
      </c>
      <c r="L438" s="23">
        <v>1270000</v>
      </c>
      <c r="M438">
        <v>240</v>
      </c>
      <c r="N438">
        <v>9.61</v>
      </c>
      <c r="O438">
        <v>4</v>
      </c>
      <c r="P438">
        <v>4</v>
      </c>
      <c r="Q438" t="s">
        <v>85</v>
      </c>
    </row>
    <row r="439" customHeight="1" spans="1:17">
      <c r="A439" t="s">
        <v>923</v>
      </c>
      <c r="B439" t="s">
        <v>226</v>
      </c>
      <c r="C439" t="s">
        <v>109</v>
      </c>
      <c r="D439">
        <v>29</v>
      </c>
      <c r="E439" t="s">
        <v>128</v>
      </c>
      <c r="F439">
        <v>2</v>
      </c>
      <c r="G439" t="s">
        <v>83</v>
      </c>
      <c r="H439" s="23">
        <v>85304</v>
      </c>
      <c r="I439" s="23">
        <v>0</v>
      </c>
      <c r="J439">
        <v>661</v>
      </c>
      <c r="K439" t="s">
        <v>119</v>
      </c>
      <c r="L439" s="23">
        <v>670000</v>
      </c>
      <c r="M439">
        <v>48</v>
      </c>
      <c r="N439">
        <v>10.62</v>
      </c>
      <c r="O439">
        <v>9</v>
      </c>
      <c r="P439">
        <v>0</v>
      </c>
      <c r="Q439" t="s">
        <v>85</v>
      </c>
    </row>
    <row r="440" customHeight="1" spans="1:17">
      <c r="A440" t="s">
        <v>924</v>
      </c>
      <c r="B440" t="s">
        <v>925</v>
      </c>
      <c r="C440" t="s">
        <v>81</v>
      </c>
      <c r="D440">
        <v>33</v>
      </c>
      <c r="E440" t="s">
        <v>138</v>
      </c>
      <c r="F440">
        <v>1</v>
      </c>
      <c r="G440" t="s">
        <v>83</v>
      </c>
      <c r="H440" s="23">
        <v>64063</v>
      </c>
      <c r="I440" s="23">
        <v>9135</v>
      </c>
      <c r="J440">
        <v>746</v>
      </c>
      <c r="K440" t="s">
        <v>131</v>
      </c>
      <c r="L440" s="23">
        <v>200000</v>
      </c>
      <c r="M440">
        <v>36</v>
      </c>
      <c r="N440">
        <v>14.13</v>
      </c>
      <c r="O440">
        <v>3</v>
      </c>
      <c r="P440">
        <v>0</v>
      </c>
      <c r="Q440" t="s">
        <v>85</v>
      </c>
    </row>
    <row r="441" customHeight="1" spans="1:17">
      <c r="A441" t="s">
        <v>926</v>
      </c>
      <c r="B441" t="s">
        <v>927</v>
      </c>
      <c r="C441" t="s">
        <v>109</v>
      </c>
      <c r="D441">
        <v>40</v>
      </c>
      <c r="E441" t="s">
        <v>115</v>
      </c>
      <c r="F441">
        <v>2</v>
      </c>
      <c r="G441" t="s">
        <v>116</v>
      </c>
      <c r="H441" s="23">
        <v>58084</v>
      </c>
      <c r="I441" s="23">
        <v>22445</v>
      </c>
      <c r="J441">
        <v>748</v>
      </c>
      <c r="K441" t="s">
        <v>131</v>
      </c>
      <c r="L441" s="23">
        <v>120000</v>
      </c>
      <c r="M441">
        <v>36</v>
      </c>
      <c r="N441">
        <v>13.96</v>
      </c>
      <c r="O441">
        <v>8</v>
      </c>
      <c r="P441">
        <v>2</v>
      </c>
      <c r="Q441" t="s">
        <v>85</v>
      </c>
    </row>
    <row r="442" customHeight="1" spans="1:17">
      <c r="A442" t="s">
        <v>928</v>
      </c>
      <c r="B442" t="s">
        <v>929</v>
      </c>
      <c r="C442" t="s">
        <v>81</v>
      </c>
      <c r="D442">
        <v>37</v>
      </c>
      <c r="E442" t="s">
        <v>106</v>
      </c>
      <c r="F442">
        <v>2</v>
      </c>
      <c r="G442" t="s">
        <v>83</v>
      </c>
      <c r="H442" s="23">
        <v>89388</v>
      </c>
      <c r="I442" s="23">
        <v>23656</v>
      </c>
      <c r="J442">
        <v>684</v>
      </c>
      <c r="K442" t="s">
        <v>84</v>
      </c>
      <c r="L442" s="23">
        <v>330000</v>
      </c>
      <c r="M442">
        <v>84</v>
      </c>
      <c r="N442">
        <v>11.66</v>
      </c>
      <c r="O442">
        <v>1</v>
      </c>
      <c r="P442">
        <v>0</v>
      </c>
      <c r="Q442" t="s">
        <v>85</v>
      </c>
    </row>
    <row r="443" customHeight="1" spans="1:17">
      <c r="A443" t="s">
        <v>930</v>
      </c>
      <c r="B443" t="s">
        <v>931</v>
      </c>
      <c r="C443" t="s">
        <v>109</v>
      </c>
      <c r="D443">
        <v>30</v>
      </c>
      <c r="E443" t="s">
        <v>128</v>
      </c>
      <c r="F443">
        <v>2</v>
      </c>
      <c r="G443" t="s">
        <v>116</v>
      </c>
      <c r="H443" s="23">
        <v>58364</v>
      </c>
      <c r="I443" s="23">
        <v>0</v>
      </c>
      <c r="J443">
        <v>702</v>
      </c>
      <c r="K443" t="s">
        <v>84</v>
      </c>
      <c r="L443" s="23">
        <v>1390000</v>
      </c>
      <c r="M443">
        <v>84</v>
      </c>
      <c r="N443">
        <v>11.53</v>
      </c>
      <c r="O443">
        <v>4</v>
      </c>
      <c r="P443">
        <v>1</v>
      </c>
      <c r="Q443" t="s">
        <v>85</v>
      </c>
    </row>
    <row r="444" customHeight="1" spans="1:17">
      <c r="A444" t="s">
        <v>932</v>
      </c>
      <c r="B444" t="s">
        <v>933</v>
      </c>
      <c r="C444" t="s">
        <v>109</v>
      </c>
      <c r="D444">
        <v>42</v>
      </c>
      <c r="E444" t="s">
        <v>88</v>
      </c>
      <c r="F444">
        <v>3</v>
      </c>
      <c r="G444" t="s">
        <v>89</v>
      </c>
      <c r="H444" s="23">
        <v>34322</v>
      </c>
      <c r="I444" s="23">
        <v>2066</v>
      </c>
      <c r="J444">
        <v>703</v>
      </c>
      <c r="K444" t="s">
        <v>131</v>
      </c>
      <c r="L444" s="23">
        <v>310000</v>
      </c>
      <c r="M444">
        <v>36</v>
      </c>
      <c r="N444">
        <v>13.16</v>
      </c>
      <c r="O444">
        <v>4</v>
      </c>
      <c r="P444">
        <v>3</v>
      </c>
      <c r="Q444" t="s">
        <v>85</v>
      </c>
    </row>
    <row r="445" customHeight="1" spans="1:17">
      <c r="A445" t="s">
        <v>934</v>
      </c>
      <c r="B445" t="s">
        <v>935</v>
      </c>
      <c r="C445" t="s">
        <v>81</v>
      </c>
      <c r="D445">
        <v>33</v>
      </c>
      <c r="E445" t="s">
        <v>88</v>
      </c>
      <c r="F445">
        <v>3</v>
      </c>
      <c r="G445" t="s">
        <v>89</v>
      </c>
      <c r="H445" s="23">
        <v>39150</v>
      </c>
      <c r="I445" s="23">
        <v>11302</v>
      </c>
      <c r="J445">
        <v>880</v>
      </c>
      <c r="K445" t="s">
        <v>84</v>
      </c>
      <c r="L445" s="23">
        <v>1180000</v>
      </c>
      <c r="M445">
        <v>84</v>
      </c>
      <c r="N445">
        <v>10.13</v>
      </c>
      <c r="O445">
        <v>2</v>
      </c>
      <c r="P445">
        <v>3</v>
      </c>
      <c r="Q445" t="s">
        <v>85</v>
      </c>
    </row>
    <row r="446" customHeight="1" spans="1:17">
      <c r="A446" t="s">
        <v>936</v>
      </c>
      <c r="B446" t="s">
        <v>937</v>
      </c>
      <c r="C446" t="s">
        <v>109</v>
      </c>
      <c r="D446">
        <v>44</v>
      </c>
      <c r="E446" t="s">
        <v>152</v>
      </c>
      <c r="F446">
        <v>1</v>
      </c>
      <c r="G446" t="s">
        <v>83</v>
      </c>
      <c r="H446" s="23">
        <v>56603</v>
      </c>
      <c r="I446" s="23">
        <v>0</v>
      </c>
      <c r="J446">
        <v>830</v>
      </c>
      <c r="K446" t="s">
        <v>131</v>
      </c>
      <c r="L446" s="23">
        <v>240000</v>
      </c>
      <c r="M446">
        <v>36</v>
      </c>
      <c r="N446">
        <v>13.99</v>
      </c>
      <c r="O446">
        <v>3</v>
      </c>
      <c r="P446">
        <v>1</v>
      </c>
      <c r="Q446" t="s">
        <v>85</v>
      </c>
    </row>
    <row r="447" customHeight="1" spans="1:17">
      <c r="A447" t="s">
        <v>938</v>
      </c>
      <c r="B447" t="s">
        <v>939</v>
      </c>
      <c r="C447" t="s">
        <v>109</v>
      </c>
      <c r="D447">
        <v>29</v>
      </c>
      <c r="E447" t="s">
        <v>98</v>
      </c>
      <c r="F447">
        <v>2</v>
      </c>
      <c r="G447" t="s">
        <v>103</v>
      </c>
      <c r="H447" s="23">
        <v>40394</v>
      </c>
      <c r="I447" s="23">
        <v>0</v>
      </c>
      <c r="J447">
        <v>653</v>
      </c>
      <c r="K447" t="s">
        <v>95</v>
      </c>
      <c r="L447" s="23">
        <v>1170000</v>
      </c>
      <c r="M447">
        <v>60</v>
      </c>
      <c r="N447">
        <v>14.8</v>
      </c>
      <c r="O447">
        <v>2</v>
      </c>
      <c r="P447">
        <v>0</v>
      </c>
      <c r="Q447" t="s">
        <v>85</v>
      </c>
    </row>
    <row r="448" customHeight="1" spans="1:17">
      <c r="A448" t="s">
        <v>940</v>
      </c>
      <c r="B448" t="s">
        <v>941</v>
      </c>
      <c r="C448" t="s">
        <v>109</v>
      </c>
      <c r="D448">
        <v>38</v>
      </c>
      <c r="E448" t="s">
        <v>106</v>
      </c>
      <c r="F448">
        <v>2</v>
      </c>
      <c r="G448" t="s">
        <v>83</v>
      </c>
      <c r="H448" s="23">
        <v>60927</v>
      </c>
      <c r="I448" s="23">
        <v>14722</v>
      </c>
      <c r="J448">
        <v>635</v>
      </c>
      <c r="K448" t="s">
        <v>90</v>
      </c>
      <c r="L448" s="23">
        <v>700000</v>
      </c>
      <c r="M448">
        <v>60</v>
      </c>
      <c r="N448">
        <v>9.19</v>
      </c>
      <c r="O448">
        <v>0</v>
      </c>
      <c r="P448">
        <v>2</v>
      </c>
      <c r="Q448" t="s">
        <v>85</v>
      </c>
    </row>
    <row r="449" customHeight="1" spans="1:17">
      <c r="A449" t="s">
        <v>942</v>
      </c>
      <c r="B449" t="s">
        <v>943</v>
      </c>
      <c r="C449" t="s">
        <v>109</v>
      </c>
      <c r="D449">
        <v>47</v>
      </c>
      <c r="E449" t="s">
        <v>94</v>
      </c>
      <c r="F449">
        <v>1</v>
      </c>
      <c r="G449" t="s">
        <v>83</v>
      </c>
      <c r="H449" s="23">
        <v>45534</v>
      </c>
      <c r="I449" s="23">
        <v>10463</v>
      </c>
      <c r="J449">
        <v>715</v>
      </c>
      <c r="K449" t="s">
        <v>131</v>
      </c>
      <c r="L449" s="23">
        <v>400000</v>
      </c>
      <c r="M449">
        <v>36</v>
      </c>
      <c r="N449">
        <v>13.24</v>
      </c>
      <c r="O449">
        <v>13</v>
      </c>
      <c r="P449">
        <v>4</v>
      </c>
      <c r="Q449" t="s">
        <v>85</v>
      </c>
    </row>
    <row r="450" customHeight="1" spans="1:17">
      <c r="A450" t="s">
        <v>944</v>
      </c>
      <c r="B450" t="s">
        <v>945</v>
      </c>
      <c r="C450" t="s">
        <v>81</v>
      </c>
      <c r="D450">
        <v>53</v>
      </c>
      <c r="E450" t="s">
        <v>182</v>
      </c>
      <c r="F450">
        <v>1</v>
      </c>
      <c r="G450" t="s">
        <v>83</v>
      </c>
      <c r="H450" s="23">
        <v>33735</v>
      </c>
      <c r="I450" s="23">
        <v>7633</v>
      </c>
      <c r="J450">
        <v>677</v>
      </c>
      <c r="K450" t="s">
        <v>125</v>
      </c>
      <c r="L450" s="23">
        <v>3620000</v>
      </c>
      <c r="M450">
        <v>240</v>
      </c>
      <c r="N450">
        <v>9.63</v>
      </c>
      <c r="O450">
        <v>2</v>
      </c>
      <c r="P450">
        <v>2</v>
      </c>
      <c r="Q450" t="s">
        <v>85</v>
      </c>
    </row>
    <row r="451" customHeight="1" spans="1:17">
      <c r="A451" t="s">
        <v>946</v>
      </c>
      <c r="B451" t="s">
        <v>947</v>
      </c>
      <c r="C451" t="s">
        <v>81</v>
      </c>
      <c r="D451">
        <v>44</v>
      </c>
      <c r="E451" t="s">
        <v>122</v>
      </c>
      <c r="F451">
        <v>2</v>
      </c>
      <c r="G451" t="s">
        <v>89</v>
      </c>
      <c r="H451" s="23">
        <v>53554</v>
      </c>
      <c r="I451" s="23">
        <v>4305</v>
      </c>
      <c r="J451">
        <v>613</v>
      </c>
      <c r="K451" t="s">
        <v>119</v>
      </c>
      <c r="L451" s="23">
        <v>310000</v>
      </c>
      <c r="M451">
        <v>48</v>
      </c>
      <c r="N451">
        <v>11.47</v>
      </c>
      <c r="O451">
        <v>2</v>
      </c>
      <c r="P451">
        <v>3</v>
      </c>
      <c r="Q451" t="s">
        <v>85</v>
      </c>
    </row>
    <row r="452" customHeight="1" spans="1:17">
      <c r="A452" t="s">
        <v>948</v>
      </c>
      <c r="B452" t="s">
        <v>949</v>
      </c>
      <c r="C452" t="s">
        <v>81</v>
      </c>
      <c r="D452">
        <v>36</v>
      </c>
      <c r="E452" t="s">
        <v>82</v>
      </c>
      <c r="F452">
        <v>2</v>
      </c>
      <c r="G452" t="s">
        <v>83</v>
      </c>
      <c r="H452" s="23">
        <v>57113</v>
      </c>
      <c r="I452" s="23">
        <v>4631</v>
      </c>
      <c r="J452">
        <v>717</v>
      </c>
      <c r="K452" t="s">
        <v>119</v>
      </c>
      <c r="L452" s="23">
        <v>370000</v>
      </c>
      <c r="M452">
        <v>48</v>
      </c>
      <c r="N452">
        <v>10.68</v>
      </c>
      <c r="O452">
        <v>3</v>
      </c>
      <c r="P452">
        <v>3</v>
      </c>
      <c r="Q452" t="s">
        <v>85</v>
      </c>
    </row>
    <row r="453" customHeight="1" spans="1:17">
      <c r="A453" t="s">
        <v>950</v>
      </c>
      <c r="B453" t="s">
        <v>951</v>
      </c>
      <c r="C453" t="s">
        <v>81</v>
      </c>
      <c r="D453">
        <v>27</v>
      </c>
      <c r="E453" t="s">
        <v>182</v>
      </c>
      <c r="F453">
        <v>1</v>
      </c>
      <c r="G453" t="s">
        <v>103</v>
      </c>
      <c r="H453" s="23">
        <v>49640</v>
      </c>
      <c r="I453" s="23">
        <v>19002</v>
      </c>
      <c r="J453">
        <v>527</v>
      </c>
      <c r="K453" t="s">
        <v>95</v>
      </c>
      <c r="L453" s="23">
        <v>690000</v>
      </c>
      <c r="M453">
        <v>60</v>
      </c>
      <c r="N453">
        <v>14.61</v>
      </c>
      <c r="O453">
        <v>3</v>
      </c>
      <c r="P453">
        <v>4</v>
      </c>
      <c r="Q453" t="s">
        <v>85</v>
      </c>
    </row>
    <row r="454" customHeight="1" spans="1:17">
      <c r="A454" t="s">
        <v>952</v>
      </c>
      <c r="B454" t="s">
        <v>953</v>
      </c>
      <c r="C454" t="s">
        <v>81</v>
      </c>
      <c r="D454">
        <v>28</v>
      </c>
      <c r="E454" t="s">
        <v>237</v>
      </c>
      <c r="F454">
        <v>1</v>
      </c>
      <c r="G454" t="s">
        <v>103</v>
      </c>
      <c r="H454" s="23">
        <v>73250</v>
      </c>
      <c r="I454" s="23">
        <v>288</v>
      </c>
      <c r="J454">
        <v>616</v>
      </c>
      <c r="K454" t="s">
        <v>131</v>
      </c>
      <c r="L454" s="23">
        <v>220000</v>
      </c>
      <c r="M454">
        <v>36</v>
      </c>
      <c r="N454">
        <v>13.49</v>
      </c>
      <c r="O454">
        <v>2</v>
      </c>
      <c r="P454">
        <v>2</v>
      </c>
      <c r="Q454" t="s">
        <v>85</v>
      </c>
    </row>
    <row r="455" customHeight="1" spans="1:17">
      <c r="A455" t="s">
        <v>954</v>
      </c>
      <c r="B455" t="s">
        <v>955</v>
      </c>
      <c r="C455" t="s">
        <v>81</v>
      </c>
      <c r="D455">
        <v>33</v>
      </c>
      <c r="E455" t="s">
        <v>98</v>
      </c>
      <c r="F455">
        <v>2</v>
      </c>
      <c r="G455" t="s">
        <v>83</v>
      </c>
      <c r="H455" s="23">
        <v>94320</v>
      </c>
      <c r="I455" s="23">
        <v>26569</v>
      </c>
      <c r="J455">
        <v>657</v>
      </c>
      <c r="K455" t="s">
        <v>84</v>
      </c>
      <c r="L455" s="23">
        <v>1390000</v>
      </c>
      <c r="M455">
        <v>84</v>
      </c>
      <c r="N455">
        <v>11.36</v>
      </c>
      <c r="O455">
        <v>3</v>
      </c>
      <c r="P455">
        <v>0</v>
      </c>
      <c r="Q455" t="s">
        <v>85</v>
      </c>
    </row>
    <row r="456" customHeight="1" spans="1:17">
      <c r="A456" t="s">
        <v>956</v>
      </c>
      <c r="B456" t="s">
        <v>957</v>
      </c>
      <c r="C456" t="s">
        <v>109</v>
      </c>
      <c r="D456">
        <v>44</v>
      </c>
      <c r="E456" t="s">
        <v>162</v>
      </c>
      <c r="F456">
        <v>1</v>
      </c>
      <c r="G456" t="s">
        <v>116</v>
      </c>
      <c r="H456" s="23">
        <v>122963</v>
      </c>
      <c r="I456" s="23">
        <v>37464</v>
      </c>
      <c r="J456">
        <v>664</v>
      </c>
      <c r="K456" t="s">
        <v>125</v>
      </c>
      <c r="L456" s="23">
        <v>1620000</v>
      </c>
      <c r="M456">
        <v>240</v>
      </c>
      <c r="N456">
        <v>8.34</v>
      </c>
      <c r="O456">
        <v>0</v>
      </c>
      <c r="P456">
        <v>0</v>
      </c>
      <c r="Q456" t="s">
        <v>85</v>
      </c>
    </row>
    <row r="457" customHeight="1" spans="1:17">
      <c r="A457" t="s">
        <v>958</v>
      </c>
      <c r="B457" t="s">
        <v>959</v>
      </c>
      <c r="C457" t="s">
        <v>81</v>
      </c>
      <c r="D457">
        <v>36</v>
      </c>
      <c r="E457" t="s">
        <v>169</v>
      </c>
      <c r="F457">
        <v>3</v>
      </c>
      <c r="G457" t="s">
        <v>116</v>
      </c>
      <c r="H457" s="23">
        <v>33246</v>
      </c>
      <c r="I457" s="23">
        <v>14787</v>
      </c>
      <c r="J457">
        <v>679</v>
      </c>
      <c r="K457" t="s">
        <v>84</v>
      </c>
      <c r="L457" s="23">
        <v>800000</v>
      </c>
      <c r="M457">
        <v>84</v>
      </c>
      <c r="N457">
        <v>10.75</v>
      </c>
      <c r="O457">
        <v>2</v>
      </c>
      <c r="P457">
        <v>0</v>
      </c>
      <c r="Q457" t="s">
        <v>85</v>
      </c>
    </row>
    <row r="458" customHeight="1" spans="1:17">
      <c r="A458" t="s">
        <v>960</v>
      </c>
      <c r="B458" t="s">
        <v>961</v>
      </c>
      <c r="C458" t="s">
        <v>81</v>
      </c>
      <c r="D458">
        <v>44</v>
      </c>
      <c r="E458" t="s">
        <v>138</v>
      </c>
      <c r="F458">
        <v>1</v>
      </c>
      <c r="G458" t="s">
        <v>103</v>
      </c>
      <c r="H458" s="23">
        <v>87846</v>
      </c>
      <c r="I458" s="23">
        <v>33711</v>
      </c>
      <c r="J458">
        <v>684</v>
      </c>
      <c r="K458" t="s">
        <v>131</v>
      </c>
      <c r="L458" s="23">
        <v>250000</v>
      </c>
      <c r="M458">
        <v>36</v>
      </c>
      <c r="N458">
        <v>14.34</v>
      </c>
      <c r="O458">
        <v>19</v>
      </c>
      <c r="P458">
        <v>4</v>
      </c>
      <c r="Q458" t="s">
        <v>85</v>
      </c>
    </row>
    <row r="459" customHeight="1" spans="1:17">
      <c r="A459" t="s">
        <v>962</v>
      </c>
      <c r="B459" t="s">
        <v>963</v>
      </c>
      <c r="C459" t="s">
        <v>81</v>
      </c>
      <c r="D459">
        <v>29</v>
      </c>
      <c r="E459" t="s">
        <v>98</v>
      </c>
      <c r="F459">
        <v>2</v>
      </c>
      <c r="G459" t="s">
        <v>83</v>
      </c>
      <c r="H459" s="23">
        <v>30319</v>
      </c>
      <c r="I459" s="23">
        <v>0</v>
      </c>
      <c r="J459">
        <v>679</v>
      </c>
      <c r="K459" t="s">
        <v>95</v>
      </c>
      <c r="L459" s="23">
        <v>410000</v>
      </c>
      <c r="M459">
        <v>60</v>
      </c>
      <c r="N459">
        <v>15.08</v>
      </c>
      <c r="O459">
        <v>7</v>
      </c>
      <c r="P459">
        <v>0</v>
      </c>
      <c r="Q459" t="s">
        <v>85</v>
      </c>
    </row>
    <row r="460" customHeight="1" spans="1:17">
      <c r="A460" t="s">
        <v>964</v>
      </c>
      <c r="B460" t="s">
        <v>965</v>
      </c>
      <c r="C460" t="s">
        <v>109</v>
      </c>
      <c r="D460">
        <v>49</v>
      </c>
      <c r="E460" t="s">
        <v>149</v>
      </c>
      <c r="F460">
        <v>1</v>
      </c>
      <c r="G460" t="s">
        <v>103</v>
      </c>
      <c r="H460" s="23">
        <v>47097</v>
      </c>
      <c r="I460" s="23">
        <v>0</v>
      </c>
      <c r="J460">
        <v>710</v>
      </c>
      <c r="K460" t="s">
        <v>95</v>
      </c>
      <c r="L460" s="23">
        <v>1400000</v>
      </c>
      <c r="M460">
        <v>60</v>
      </c>
      <c r="N460">
        <v>13.89</v>
      </c>
      <c r="O460">
        <v>3</v>
      </c>
      <c r="P460">
        <v>1</v>
      </c>
      <c r="Q460" t="s">
        <v>85</v>
      </c>
    </row>
    <row r="461" customHeight="1" spans="1:17">
      <c r="A461" t="s">
        <v>966</v>
      </c>
      <c r="B461" t="s">
        <v>967</v>
      </c>
      <c r="C461" t="s">
        <v>81</v>
      </c>
      <c r="D461">
        <v>39</v>
      </c>
      <c r="E461" t="s">
        <v>237</v>
      </c>
      <c r="F461">
        <v>1</v>
      </c>
      <c r="G461" t="s">
        <v>103</v>
      </c>
      <c r="H461" s="23">
        <v>33234</v>
      </c>
      <c r="I461" s="23">
        <v>10236</v>
      </c>
      <c r="J461">
        <v>783</v>
      </c>
      <c r="K461" t="s">
        <v>90</v>
      </c>
      <c r="L461" s="23">
        <v>950000</v>
      </c>
      <c r="M461">
        <v>60</v>
      </c>
      <c r="N461">
        <v>9.36</v>
      </c>
      <c r="O461">
        <v>0</v>
      </c>
      <c r="P461">
        <v>3</v>
      </c>
      <c r="Q461" t="s">
        <v>85</v>
      </c>
    </row>
    <row r="462" customHeight="1" spans="1:17">
      <c r="A462" t="s">
        <v>968</v>
      </c>
      <c r="B462" t="s">
        <v>969</v>
      </c>
      <c r="C462" t="s">
        <v>81</v>
      </c>
      <c r="D462">
        <v>27</v>
      </c>
      <c r="E462" t="s">
        <v>149</v>
      </c>
      <c r="F462">
        <v>1</v>
      </c>
      <c r="G462" t="s">
        <v>89</v>
      </c>
      <c r="H462" s="23">
        <v>154015</v>
      </c>
      <c r="I462" s="23">
        <v>0</v>
      </c>
      <c r="J462">
        <v>585</v>
      </c>
      <c r="K462" t="s">
        <v>84</v>
      </c>
      <c r="L462" s="23">
        <v>900000</v>
      </c>
      <c r="M462">
        <v>84</v>
      </c>
      <c r="N462">
        <v>10.93</v>
      </c>
      <c r="O462">
        <v>0</v>
      </c>
      <c r="P462">
        <v>1</v>
      </c>
      <c r="Q462" t="s">
        <v>85</v>
      </c>
    </row>
    <row r="463" customHeight="1" spans="1:17">
      <c r="A463" t="s">
        <v>970</v>
      </c>
      <c r="B463" t="s">
        <v>971</v>
      </c>
      <c r="C463" t="s">
        <v>109</v>
      </c>
      <c r="D463">
        <v>26</v>
      </c>
      <c r="E463" t="s">
        <v>182</v>
      </c>
      <c r="F463">
        <v>1</v>
      </c>
      <c r="G463" t="s">
        <v>83</v>
      </c>
      <c r="H463" s="23">
        <v>59909</v>
      </c>
      <c r="I463" s="23">
        <v>0</v>
      </c>
      <c r="J463">
        <v>620</v>
      </c>
      <c r="K463" t="s">
        <v>131</v>
      </c>
      <c r="L463" s="23">
        <v>340000</v>
      </c>
      <c r="M463">
        <v>36</v>
      </c>
      <c r="N463">
        <v>14.21</v>
      </c>
      <c r="O463">
        <v>3</v>
      </c>
      <c r="P463">
        <v>4</v>
      </c>
      <c r="Q463" t="s">
        <v>85</v>
      </c>
    </row>
    <row r="464" customHeight="1" spans="1:17">
      <c r="A464" t="s">
        <v>972</v>
      </c>
      <c r="B464" t="s">
        <v>973</v>
      </c>
      <c r="C464" t="s">
        <v>109</v>
      </c>
      <c r="D464">
        <v>38</v>
      </c>
      <c r="E464" t="s">
        <v>110</v>
      </c>
      <c r="F464">
        <v>1</v>
      </c>
      <c r="G464" t="s">
        <v>83</v>
      </c>
      <c r="H464" s="23">
        <v>22067</v>
      </c>
      <c r="I464" s="23">
        <v>7551</v>
      </c>
      <c r="J464">
        <v>699</v>
      </c>
      <c r="K464" t="s">
        <v>95</v>
      </c>
      <c r="L464" s="23">
        <v>1130000</v>
      </c>
      <c r="M464">
        <v>60</v>
      </c>
      <c r="N464">
        <v>14.96</v>
      </c>
      <c r="O464">
        <v>2</v>
      </c>
      <c r="P464">
        <v>0</v>
      </c>
      <c r="Q464" t="s">
        <v>91</v>
      </c>
    </row>
    <row r="465" customHeight="1" spans="1:17">
      <c r="A465" t="s">
        <v>974</v>
      </c>
      <c r="B465" t="s">
        <v>372</v>
      </c>
      <c r="C465" t="s">
        <v>109</v>
      </c>
      <c r="D465">
        <v>22</v>
      </c>
      <c r="E465" t="s">
        <v>157</v>
      </c>
      <c r="F465">
        <v>2</v>
      </c>
      <c r="G465" t="s">
        <v>83</v>
      </c>
      <c r="H465" s="23">
        <v>91848</v>
      </c>
      <c r="I465" s="23">
        <v>0</v>
      </c>
      <c r="J465">
        <v>732</v>
      </c>
      <c r="K465" t="s">
        <v>95</v>
      </c>
      <c r="L465" s="23">
        <v>670000</v>
      </c>
      <c r="M465">
        <v>60</v>
      </c>
      <c r="N465">
        <v>14.66</v>
      </c>
      <c r="O465">
        <v>2</v>
      </c>
      <c r="P465">
        <v>1</v>
      </c>
      <c r="Q465" t="s">
        <v>85</v>
      </c>
    </row>
    <row r="466" customHeight="1" spans="1:17">
      <c r="A466" t="s">
        <v>975</v>
      </c>
      <c r="B466" t="s">
        <v>976</v>
      </c>
      <c r="C466" t="s">
        <v>109</v>
      </c>
      <c r="D466">
        <v>38</v>
      </c>
      <c r="E466" t="s">
        <v>182</v>
      </c>
      <c r="F466">
        <v>1</v>
      </c>
      <c r="G466" t="s">
        <v>83</v>
      </c>
      <c r="H466" s="23">
        <v>51178</v>
      </c>
      <c r="I466" s="23">
        <v>0</v>
      </c>
      <c r="J466">
        <v>729</v>
      </c>
      <c r="K466" t="s">
        <v>125</v>
      </c>
      <c r="L466" s="23">
        <v>3410000</v>
      </c>
      <c r="M466">
        <v>240</v>
      </c>
      <c r="N466">
        <v>8.7</v>
      </c>
      <c r="O466">
        <v>7</v>
      </c>
      <c r="P466">
        <v>1</v>
      </c>
      <c r="Q466" t="s">
        <v>85</v>
      </c>
    </row>
    <row r="467" customHeight="1" spans="1:17">
      <c r="A467" t="s">
        <v>977</v>
      </c>
      <c r="B467" t="s">
        <v>978</v>
      </c>
      <c r="C467" t="s">
        <v>109</v>
      </c>
      <c r="D467">
        <v>36</v>
      </c>
      <c r="E467" t="s">
        <v>110</v>
      </c>
      <c r="F467">
        <v>1</v>
      </c>
      <c r="G467" t="s">
        <v>103</v>
      </c>
      <c r="H467" s="23">
        <v>51522</v>
      </c>
      <c r="I467" s="23">
        <v>20579</v>
      </c>
      <c r="J467">
        <v>679</v>
      </c>
      <c r="K467" t="s">
        <v>90</v>
      </c>
      <c r="L467" s="23">
        <v>1080000</v>
      </c>
      <c r="M467">
        <v>60</v>
      </c>
      <c r="N467">
        <v>9.02</v>
      </c>
      <c r="O467">
        <v>4</v>
      </c>
      <c r="P467">
        <v>2</v>
      </c>
      <c r="Q467" t="s">
        <v>85</v>
      </c>
    </row>
    <row r="468" customHeight="1" spans="1:17">
      <c r="A468" t="s">
        <v>979</v>
      </c>
      <c r="B468" t="s">
        <v>980</v>
      </c>
      <c r="C468" t="s">
        <v>81</v>
      </c>
      <c r="D468">
        <v>52</v>
      </c>
      <c r="E468" t="s">
        <v>128</v>
      </c>
      <c r="F468">
        <v>2</v>
      </c>
      <c r="G468" t="s">
        <v>103</v>
      </c>
      <c r="H468" s="23">
        <v>84487</v>
      </c>
      <c r="I468" s="23">
        <v>26113</v>
      </c>
      <c r="J468">
        <v>720</v>
      </c>
      <c r="K468" t="s">
        <v>90</v>
      </c>
      <c r="L468" s="23">
        <v>230000</v>
      </c>
      <c r="M468">
        <v>60</v>
      </c>
      <c r="N468">
        <v>9.41</v>
      </c>
      <c r="O468">
        <v>4</v>
      </c>
      <c r="P468">
        <v>0</v>
      </c>
      <c r="Q468" t="s">
        <v>85</v>
      </c>
    </row>
    <row r="469" customHeight="1" spans="1:17">
      <c r="A469" t="s">
        <v>981</v>
      </c>
      <c r="B469" t="s">
        <v>982</v>
      </c>
      <c r="C469" t="s">
        <v>81</v>
      </c>
      <c r="D469">
        <v>34</v>
      </c>
      <c r="E469" t="s">
        <v>128</v>
      </c>
      <c r="F469">
        <v>2</v>
      </c>
      <c r="G469" t="s">
        <v>83</v>
      </c>
      <c r="H469" s="23">
        <v>94586</v>
      </c>
      <c r="I469" s="23">
        <v>26626</v>
      </c>
      <c r="J469">
        <v>743</v>
      </c>
      <c r="K469" t="s">
        <v>95</v>
      </c>
      <c r="L469" s="23">
        <v>1030000</v>
      </c>
      <c r="M469">
        <v>60</v>
      </c>
      <c r="N469">
        <v>14.38</v>
      </c>
      <c r="O469">
        <v>0</v>
      </c>
      <c r="P469">
        <v>2</v>
      </c>
      <c r="Q469" t="s">
        <v>85</v>
      </c>
    </row>
    <row r="470" customHeight="1" spans="1:17">
      <c r="A470" t="s">
        <v>983</v>
      </c>
      <c r="B470" t="s">
        <v>984</v>
      </c>
      <c r="C470" t="s">
        <v>109</v>
      </c>
      <c r="D470">
        <v>45</v>
      </c>
      <c r="E470" t="s">
        <v>82</v>
      </c>
      <c r="F470">
        <v>2</v>
      </c>
      <c r="G470" t="s">
        <v>89</v>
      </c>
      <c r="H470" s="23">
        <v>61433</v>
      </c>
      <c r="I470" s="23">
        <v>3369</v>
      </c>
      <c r="J470">
        <v>697</v>
      </c>
      <c r="K470" t="s">
        <v>84</v>
      </c>
      <c r="L470" s="23">
        <v>460000</v>
      </c>
      <c r="M470">
        <v>84</v>
      </c>
      <c r="N470">
        <v>10.8</v>
      </c>
      <c r="O470">
        <v>2</v>
      </c>
      <c r="P470">
        <v>3</v>
      </c>
      <c r="Q470" t="s">
        <v>85</v>
      </c>
    </row>
    <row r="471" customHeight="1" spans="1:17">
      <c r="A471" t="s">
        <v>985</v>
      </c>
      <c r="B471" t="s">
        <v>986</v>
      </c>
      <c r="C471" t="s">
        <v>109</v>
      </c>
      <c r="D471">
        <v>43</v>
      </c>
      <c r="E471" t="s">
        <v>88</v>
      </c>
      <c r="F471">
        <v>3</v>
      </c>
      <c r="G471" t="s">
        <v>103</v>
      </c>
      <c r="H471" s="23">
        <v>91768</v>
      </c>
      <c r="I471" s="23">
        <v>32008</v>
      </c>
      <c r="J471">
        <v>845</v>
      </c>
      <c r="K471" t="s">
        <v>84</v>
      </c>
      <c r="L471" s="23">
        <v>290000</v>
      </c>
      <c r="M471">
        <v>84</v>
      </c>
      <c r="N471">
        <v>10.22</v>
      </c>
      <c r="O471">
        <v>1</v>
      </c>
      <c r="P471">
        <v>0</v>
      </c>
      <c r="Q471" t="s">
        <v>85</v>
      </c>
    </row>
    <row r="472" customHeight="1" spans="1:17">
      <c r="A472" t="s">
        <v>987</v>
      </c>
      <c r="B472" t="s">
        <v>988</v>
      </c>
      <c r="C472" t="s">
        <v>109</v>
      </c>
      <c r="D472">
        <v>41</v>
      </c>
      <c r="E472" t="s">
        <v>115</v>
      </c>
      <c r="F472">
        <v>2</v>
      </c>
      <c r="G472" t="s">
        <v>103</v>
      </c>
      <c r="H472" s="23">
        <v>39370</v>
      </c>
      <c r="I472" s="23">
        <v>16496</v>
      </c>
      <c r="J472">
        <v>678</v>
      </c>
      <c r="K472" t="s">
        <v>84</v>
      </c>
      <c r="L472" s="23">
        <v>660000</v>
      </c>
      <c r="M472">
        <v>84</v>
      </c>
      <c r="N472">
        <v>10.41</v>
      </c>
      <c r="O472">
        <v>2</v>
      </c>
      <c r="P472">
        <v>4</v>
      </c>
      <c r="Q472" t="s">
        <v>85</v>
      </c>
    </row>
    <row r="473" customHeight="1" spans="1:17">
      <c r="A473" t="s">
        <v>989</v>
      </c>
      <c r="B473" t="s">
        <v>990</v>
      </c>
      <c r="C473" t="s">
        <v>109</v>
      </c>
      <c r="D473">
        <v>46</v>
      </c>
      <c r="E473" t="s">
        <v>138</v>
      </c>
      <c r="F473">
        <v>1</v>
      </c>
      <c r="G473" t="s">
        <v>83</v>
      </c>
      <c r="H473" s="23">
        <v>63338</v>
      </c>
      <c r="I473" s="23">
        <v>0</v>
      </c>
      <c r="J473">
        <v>774</v>
      </c>
      <c r="K473" t="s">
        <v>84</v>
      </c>
      <c r="L473" s="23">
        <v>780000</v>
      </c>
      <c r="M473">
        <v>84</v>
      </c>
      <c r="N473">
        <v>10.32</v>
      </c>
      <c r="O473">
        <v>1</v>
      </c>
      <c r="P473">
        <v>1</v>
      </c>
      <c r="Q473" t="s">
        <v>85</v>
      </c>
    </row>
    <row r="474" customHeight="1" spans="1:17">
      <c r="A474" t="s">
        <v>991</v>
      </c>
      <c r="B474" t="s">
        <v>992</v>
      </c>
      <c r="C474" t="s">
        <v>81</v>
      </c>
      <c r="D474">
        <v>21</v>
      </c>
      <c r="E474" t="s">
        <v>237</v>
      </c>
      <c r="F474">
        <v>1</v>
      </c>
      <c r="G474" t="s">
        <v>89</v>
      </c>
      <c r="H474" s="23">
        <v>30547</v>
      </c>
      <c r="I474" s="23">
        <v>0</v>
      </c>
      <c r="J474">
        <v>764</v>
      </c>
      <c r="K474" t="s">
        <v>90</v>
      </c>
      <c r="L474" s="23">
        <v>850000</v>
      </c>
      <c r="M474">
        <v>60</v>
      </c>
      <c r="N474">
        <v>9.29</v>
      </c>
      <c r="O474">
        <v>4</v>
      </c>
      <c r="P474">
        <v>2</v>
      </c>
      <c r="Q474" t="s">
        <v>85</v>
      </c>
    </row>
    <row r="475" customHeight="1" spans="1:17">
      <c r="A475" t="s">
        <v>993</v>
      </c>
      <c r="B475" t="s">
        <v>994</v>
      </c>
      <c r="C475" t="s">
        <v>81</v>
      </c>
      <c r="D475">
        <v>30</v>
      </c>
      <c r="E475" t="s">
        <v>237</v>
      </c>
      <c r="F475">
        <v>1</v>
      </c>
      <c r="G475" t="s">
        <v>89</v>
      </c>
      <c r="H475" s="23">
        <v>73919</v>
      </c>
      <c r="I475" s="23">
        <v>6230</v>
      </c>
      <c r="J475">
        <v>641</v>
      </c>
      <c r="K475" t="s">
        <v>125</v>
      </c>
      <c r="L475" s="23">
        <v>2600000</v>
      </c>
      <c r="M475">
        <v>240</v>
      </c>
      <c r="N475">
        <v>8.98</v>
      </c>
      <c r="O475">
        <v>6</v>
      </c>
      <c r="P475">
        <v>4</v>
      </c>
      <c r="Q475" t="s">
        <v>85</v>
      </c>
    </row>
    <row r="476" customHeight="1" spans="1:17">
      <c r="A476" t="s">
        <v>995</v>
      </c>
      <c r="B476" t="s">
        <v>511</v>
      </c>
      <c r="C476" t="s">
        <v>109</v>
      </c>
      <c r="D476">
        <v>27</v>
      </c>
      <c r="E476" t="s">
        <v>88</v>
      </c>
      <c r="F476">
        <v>3</v>
      </c>
      <c r="G476" t="s">
        <v>89</v>
      </c>
      <c r="H476" s="23">
        <v>28289</v>
      </c>
      <c r="I476" s="23">
        <v>0</v>
      </c>
      <c r="J476">
        <v>736</v>
      </c>
      <c r="K476" t="s">
        <v>84</v>
      </c>
      <c r="L476" s="23">
        <v>1120000</v>
      </c>
      <c r="M476">
        <v>84</v>
      </c>
      <c r="N476">
        <v>10.49</v>
      </c>
      <c r="O476">
        <v>1</v>
      </c>
      <c r="P476">
        <v>0</v>
      </c>
      <c r="Q476" t="s">
        <v>85</v>
      </c>
    </row>
    <row r="477" customHeight="1" spans="1:17">
      <c r="A477" t="s">
        <v>996</v>
      </c>
      <c r="B477" t="s">
        <v>992</v>
      </c>
      <c r="C477" t="s">
        <v>81</v>
      </c>
      <c r="D477">
        <v>35</v>
      </c>
      <c r="E477" t="s">
        <v>122</v>
      </c>
      <c r="F477">
        <v>2</v>
      </c>
      <c r="G477" t="s">
        <v>116</v>
      </c>
      <c r="H477" s="23">
        <v>57332</v>
      </c>
      <c r="I477" s="23">
        <v>0</v>
      </c>
      <c r="J477">
        <v>746</v>
      </c>
      <c r="K477" t="s">
        <v>125</v>
      </c>
      <c r="L477" s="23">
        <v>4300000</v>
      </c>
      <c r="M477">
        <v>240</v>
      </c>
      <c r="N477">
        <v>9.59</v>
      </c>
      <c r="O477">
        <v>30</v>
      </c>
      <c r="P477">
        <v>2</v>
      </c>
      <c r="Q477" t="s">
        <v>85</v>
      </c>
    </row>
    <row r="478" customHeight="1" spans="1:17">
      <c r="A478" t="s">
        <v>997</v>
      </c>
      <c r="B478" t="s">
        <v>998</v>
      </c>
      <c r="C478" t="s">
        <v>81</v>
      </c>
      <c r="D478">
        <v>39</v>
      </c>
      <c r="E478" t="s">
        <v>214</v>
      </c>
      <c r="F478">
        <v>2</v>
      </c>
      <c r="G478" t="s">
        <v>83</v>
      </c>
      <c r="H478" s="23">
        <v>75689</v>
      </c>
      <c r="I478" s="23">
        <v>23065</v>
      </c>
      <c r="J478">
        <v>723</v>
      </c>
      <c r="K478" t="s">
        <v>119</v>
      </c>
      <c r="L478" s="23">
        <v>230000</v>
      </c>
      <c r="M478">
        <v>48</v>
      </c>
      <c r="N478">
        <v>11.22</v>
      </c>
      <c r="O478">
        <v>2</v>
      </c>
      <c r="P478">
        <v>2</v>
      </c>
      <c r="Q478" t="s">
        <v>85</v>
      </c>
    </row>
    <row r="479" customHeight="1" spans="1:17">
      <c r="A479" t="s">
        <v>999</v>
      </c>
      <c r="B479" t="s">
        <v>1000</v>
      </c>
      <c r="C479" t="s">
        <v>81</v>
      </c>
      <c r="D479">
        <v>51</v>
      </c>
      <c r="E479" t="s">
        <v>172</v>
      </c>
      <c r="F479">
        <v>2</v>
      </c>
      <c r="G479" t="s">
        <v>116</v>
      </c>
      <c r="H479" s="23">
        <v>58703</v>
      </c>
      <c r="I479" s="23">
        <v>0</v>
      </c>
      <c r="J479">
        <v>706</v>
      </c>
      <c r="K479" t="s">
        <v>84</v>
      </c>
      <c r="L479" s="23">
        <v>1180000</v>
      </c>
      <c r="M479">
        <v>84</v>
      </c>
      <c r="N479">
        <v>10.37</v>
      </c>
      <c r="O479">
        <v>3</v>
      </c>
      <c r="P479">
        <v>0</v>
      </c>
      <c r="Q479" t="s">
        <v>85</v>
      </c>
    </row>
    <row r="480" customHeight="1" spans="1:17">
      <c r="A480" t="s">
        <v>1001</v>
      </c>
      <c r="B480" t="s">
        <v>412</v>
      </c>
      <c r="C480" t="s">
        <v>109</v>
      </c>
      <c r="D480">
        <v>45</v>
      </c>
      <c r="E480" t="s">
        <v>122</v>
      </c>
      <c r="F480">
        <v>2</v>
      </c>
      <c r="G480" t="s">
        <v>89</v>
      </c>
      <c r="H480" s="23">
        <v>52279</v>
      </c>
      <c r="I480" s="23">
        <v>20872</v>
      </c>
      <c r="J480">
        <v>672</v>
      </c>
      <c r="K480" t="s">
        <v>125</v>
      </c>
      <c r="L480" s="23">
        <v>1440000</v>
      </c>
      <c r="M480">
        <v>240</v>
      </c>
      <c r="N480">
        <v>8.54</v>
      </c>
      <c r="O480">
        <v>1</v>
      </c>
      <c r="P480">
        <v>4</v>
      </c>
      <c r="Q480" t="s">
        <v>85</v>
      </c>
    </row>
    <row r="481" customHeight="1" spans="1:17">
      <c r="A481" t="s">
        <v>1002</v>
      </c>
      <c r="B481" t="s">
        <v>1003</v>
      </c>
      <c r="C481" t="s">
        <v>81</v>
      </c>
      <c r="D481">
        <v>36</v>
      </c>
      <c r="E481" t="s">
        <v>172</v>
      </c>
      <c r="F481">
        <v>2</v>
      </c>
      <c r="G481" t="s">
        <v>103</v>
      </c>
      <c r="H481" s="23">
        <v>87967</v>
      </c>
      <c r="I481" s="23">
        <v>5641</v>
      </c>
      <c r="J481">
        <v>685</v>
      </c>
      <c r="K481" t="s">
        <v>84</v>
      </c>
      <c r="L481" s="23">
        <v>360000</v>
      </c>
      <c r="M481">
        <v>84</v>
      </c>
      <c r="N481">
        <v>10.76</v>
      </c>
      <c r="O481">
        <v>14</v>
      </c>
      <c r="P481">
        <v>0</v>
      </c>
      <c r="Q481" t="s">
        <v>85</v>
      </c>
    </row>
    <row r="482" customHeight="1" spans="1:17">
      <c r="A482" t="s">
        <v>1004</v>
      </c>
      <c r="B482" t="s">
        <v>1005</v>
      </c>
      <c r="C482" t="s">
        <v>81</v>
      </c>
      <c r="D482">
        <v>30</v>
      </c>
      <c r="E482" t="s">
        <v>152</v>
      </c>
      <c r="F482">
        <v>1</v>
      </c>
      <c r="G482" t="s">
        <v>83</v>
      </c>
      <c r="H482" s="23">
        <v>45691</v>
      </c>
      <c r="I482" s="23">
        <v>16249</v>
      </c>
      <c r="J482">
        <v>692</v>
      </c>
      <c r="K482" t="s">
        <v>95</v>
      </c>
      <c r="L482" s="23">
        <v>490000</v>
      </c>
      <c r="M482">
        <v>60</v>
      </c>
      <c r="N482">
        <v>14.63</v>
      </c>
      <c r="O482">
        <v>1</v>
      </c>
      <c r="P482">
        <v>2</v>
      </c>
      <c r="Q482" t="s">
        <v>85</v>
      </c>
    </row>
    <row r="483" customHeight="1" spans="1:17">
      <c r="A483" t="s">
        <v>1006</v>
      </c>
      <c r="B483" t="s">
        <v>402</v>
      </c>
      <c r="C483" t="s">
        <v>109</v>
      </c>
      <c r="D483">
        <v>35</v>
      </c>
      <c r="E483" t="s">
        <v>182</v>
      </c>
      <c r="F483">
        <v>1</v>
      </c>
      <c r="G483" t="s">
        <v>83</v>
      </c>
      <c r="H483" s="23">
        <v>81458</v>
      </c>
      <c r="I483" s="23">
        <v>13284</v>
      </c>
      <c r="J483">
        <v>700</v>
      </c>
      <c r="K483" t="s">
        <v>131</v>
      </c>
      <c r="L483" s="23">
        <v>440000</v>
      </c>
      <c r="M483">
        <v>36</v>
      </c>
      <c r="N483">
        <v>13.16</v>
      </c>
      <c r="O483">
        <v>2</v>
      </c>
      <c r="P483">
        <v>2</v>
      </c>
      <c r="Q483" t="s">
        <v>91</v>
      </c>
    </row>
    <row r="484" customHeight="1" spans="1:17">
      <c r="A484" t="s">
        <v>1007</v>
      </c>
      <c r="B484" t="s">
        <v>374</v>
      </c>
      <c r="C484" t="s">
        <v>109</v>
      </c>
      <c r="D484">
        <v>29</v>
      </c>
      <c r="E484" t="s">
        <v>237</v>
      </c>
      <c r="F484">
        <v>1</v>
      </c>
      <c r="G484" t="s">
        <v>89</v>
      </c>
      <c r="H484" s="23">
        <v>52273</v>
      </c>
      <c r="I484" s="23">
        <v>17770</v>
      </c>
      <c r="J484">
        <v>725</v>
      </c>
      <c r="K484" t="s">
        <v>84</v>
      </c>
      <c r="L484" s="23">
        <v>600000</v>
      </c>
      <c r="M484">
        <v>84</v>
      </c>
      <c r="N484">
        <v>11.16</v>
      </c>
      <c r="O484">
        <v>4</v>
      </c>
      <c r="P484">
        <v>1</v>
      </c>
      <c r="Q484" t="s">
        <v>85</v>
      </c>
    </row>
    <row r="485" customHeight="1" spans="1:17">
      <c r="A485" t="s">
        <v>1008</v>
      </c>
      <c r="B485" t="s">
        <v>378</v>
      </c>
      <c r="C485" t="s">
        <v>81</v>
      </c>
      <c r="D485">
        <v>28</v>
      </c>
      <c r="E485" t="s">
        <v>82</v>
      </c>
      <c r="F485">
        <v>2</v>
      </c>
      <c r="G485" t="s">
        <v>83</v>
      </c>
      <c r="H485" s="23">
        <v>76724</v>
      </c>
      <c r="I485" s="23">
        <v>23535</v>
      </c>
      <c r="J485">
        <v>820</v>
      </c>
      <c r="K485" t="s">
        <v>119</v>
      </c>
      <c r="L485" s="23">
        <v>740000</v>
      </c>
      <c r="M485">
        <v>48</v>
      </c>
      <c r="N485">
        <v>12</v>
      </c>
      <c r="O485">
        <v>1</v>
      </c>
      <c r="P485">
        <v>3</v>
      </c>
      <c r="Q485" t="s">
        <v>85</v>
      </c>
    </row>
    <row r="486" customHeight="1" spans="1:17">
      <c r="A486" t="s">
        <v>1009</v>
      </c>
      <c r="B486" t="s">
        <v>1010</v>
      </c>
      <c r="C486" t="s">
        <v>109</v>
      </c>
      <c r="D486">
        <v>45</v>
      </c>
      <c r="E486" t="s">
        <v>138</v>
      </c>
      <c r="F486">
        <v>1</v>
      </c>
      <c r="G486" t="s">
        <v>83</v>
      </c>
      <c r="H486" s="23">
        <v>77411</v>
      </c>
      <c r="I486" s="23">
        <v>0</v>
      </c>
      <c r="J486">
        <v>783</v>
      </c>
      <c r="K486" t="s">
        <v>84</v>
      </c>
      <c r="L486" s="23">
        <v>1230000</v>
      </c>
      <c r="M486">
        <v>84</v>
      </c>
      <c r="N486">
        <v>10.12</v>
      </c>
      <c r="O486">
        <v>2</v>
      </c>
      <c r="P486">
        <v>2</v>
      </c>
      <c r="Q486" t="s">
        <v>85</v>
      </c>
    </row>
    <row r="487" customHeight="1" spans="1:17">
      <c r="A487" t="s">
        <v>1011</v>
      </c>
      <c r="B487" t="s">
        <v>1012</v>
      </c>
      <c r="C487" t="s">
        <v>81</v>
      </c>
      <c r="D487">
        <v>26</v>
      </c>
      <c r="E487" t="s">
        <v>182</v>
      </c>
      <c r="F487">
        <v>1</v>
      </c>
      <c r="G487" t="s">
        <v>83</v>
      </c>
      <c r="H487" s="23">
        <v>29152</v>
      </c>
      <c r="I487" s="23">
        <v>1628</v>
      </c>
      <c r="J487">
        <v>807</v>
      </c>
      <c r="K487" t="s">
        <v>95</v>
      </c>
      <c r="L487" s="23">
        <v>1090000</v>
      </c>
      <c r="M487">
        <v>60</v>
      </c>
      <c r="N487">
        <v>14.3</v>
      </c>
      <c r="O487">
        <v>4</v>
      </c>
      <c r="P487">
        <v>1</v>
      </c>
      <c r="Q487" t="s">
        <v>85</v>
      </c>
    </row>
    <row r="488" customHeight="1" spans="1:17">
      <c r="A488" t="s">
        <v>1013</v>
      </c>
      <c r="B488" t="s">
        <v>659</v>
      </c>
      <c r="C488" t="s">
        <v>109</v>
      </c>
      <c r="D488">
        <v>34</v>
      </c>
      <c r="E488" t="s">
        <v>94</v>
      </c>
      <c r="F488">
        <v>1</v>
      </c>
      <c r="G488" t="s">
        <v>83</v>
      </c>
      <c r="H488" s="23">
        <v>104467</v>
      </c>
      <c r="I488" s="23">
        <v>46572</v>
      </c>
      <c r="J488">
        <v>690</v>
      </c>
      <c r="K488" t="s">
        <v>125</v>
      </c>
      <c r="L488" s="23">
        <v>3510000</v>
      </c>
      <c r="M488">
        <v>240</v>
      </c>
      <c r="N488">
        <v>9.25</v>
      </c>
      <c r="O488">
        <v>4</v>
      </c>
      <c r="P488">
        <v>0</v>
      </c>
      <c r="Q488" t="s">
        <v>85</v>
      </c>
    </row>
    <row r="489" customHeight="1" spans="1:17">
      <c r="A489" t="s">
        <v>1014</v>
      </c>
      <c r="B489" t="s">
        <v>978</v>
      </c>
      <c r="C489" t="s">
        <v>109</v>
      </c>
      <c r="D489">
        <v>37</v>
      </c>
      <c r="E489" t="s">
        <v>169</v>
      </c>
      <c r="F489">
        <v>3</v>
      </c>
      <c r="G489" t="s">
        <v>83</v>
      </c>
      <c r="H489" s="23">
        <v>89357</v>
      </c>
      <c r="I489" s="23">
        <v>29458</v>
      </c>
      <c r="J489">
        <v>809</v>
      </c>
      <c r="K489" t="s">
        <v>95</v>
      </c>
      <c r="L489" s="23">
        <v>1760000</v>
      </c>
      <c r="M489">
        <v>60</v>
      </c>
      <c r="N489">
        <v>13.75</v>
      </c>
      <c r="O489">
        <v>0</v>
      </c>
      <c r="P489">
        <v>1</v>
      </c>
      <c r="Q489" t="s">
        <v>85</v>
      </c>
    </row>
    <row r="490" customHeight="1" spans="1:17">
      <c r="A490" t="s">
        <v>1015</v>
      </c>
      <c r="B490" t="s">
        <v>376</v>
      </c>
      <c r="C490" t="s">
        <v>109</v>
      </c>
      <c r="D490">
        <v>30</v>
      </c>
      <c r="E490" t="s">
        <v>172</v>
      </c>
      <c r="F490">
        <v>2</v>
      </c>
      <c r="G490" t="s">
        <v>83</v>
      </c>
      <c r="H490" s="23">
        <v>66502</v>
      </c>
      <c r="I490" s="23">
        <v>0</v>
      </c>
      <c r="J490">
        <v>752</v>
      </c>
      <c r="K490" t="s">
        <v>125</v>
      </c>
      <c r="L490" s="23">
        <v>2530000</v>
      </c>
      <c r="M490">
        <v>240</v>
      </c>
      <c r="N490">
        <v>9.46</v>
      </c>
      <c r="O490">
        <v>5</v>
      </c>
      <c r="P490">
        <v>2</v>
      </c>
      <c r="Q490" t="s">
        <v>85</v>
      </c>
    </row>
    <row r="491" customHeight="1" spans="1:17">
      <c r="A491" t="s">
        <v>1016</v>
      </c>
      <c r="B491" t="s">
        <v>1017</v>
      </c>
      <c r="C491" t="s">
        <v>81</v>
      </c>
      <c r="D491">
        <v>37</v>
      </c>
      <c r="E491" t="s">
        <v>106</v>
      </c>
      <c r="F491">
        <v>2</v>
      </c>
      <c r="G491" t="s">
        <v>83</v>
      </c>
      <c r="H491" s="23">
        <v>90383</v>
      </c>
      <c r="I491" s="23">
        <v>0</v>
      </c>
      <c r="J491">
        <v>809</v>
      </c>
      <c r="K491" t="s">
        <v>95</v>
      </c>
      <c r="L491" s="23">
        <v>870000</v>
      </c>
      <c r="M491">
        <v>60</v>
      </c>
      <c r="N491">
        <v>13.79</v>
      </c>
      <c r="O491">
        <v>8</v>
      </c>
      <c r="P491">
        <v>4</v>
      </c>
      <c r="Q491" t="s">
        <v>91</v>
      </c>
    </row>
    <row r="492" customHeight="1" spans="1:17">
      <c r="A492" t="s">
        <v>1018</v>
      </c>
      <c r="B492" t="s">
        <v>355</v>
      </c>
      <c r="C492" t="s">
        <v>81</v>
      </c>
      <c r="D492">
        <v>30</v>
      </c>
      <c r="E492" t="s">
        <v>237</v>
      </c>
      <c r="F492">
        <v>1</v>
      </c>
      <c r="G492" t="s">
        <v>83</v>
      </c>
      <c r="H492" s="23">
        <v>29167</v>
      </c>
      <c r="I492" s="23">
        <v>0</v>
      </c>
      <c r="J492">
        <v>757</v>
      </c>
      <c r="K492" t="s">
        <v>125</v>
      </c>
      <c r="L492" s="23">
        <v>4920000</v>
      </c>
      <c r="M492">
        <v>240</v>
      </c>
      <c r="N492">
        <v>8.65</v>
      </c>
      <c r="O492">
        <v>3</v>
      </c>
      <c r="P492">
        <v>2</v>
      </c>
      <c r="Q492" t="s">
        <v>91</v>
      </c>
    </row>
    <row r="493" customHeight="1" spans="1:17">
      <c r="A493" t="s">
        <v>1019</v>
      </c>
      <c r="B493" t="s">
        <v>798</v>
      </c>
      <c r="C493" t="s">
        <v>109</v>
      </c>
      <c r="D493">
        <v>32</v>
      </c>
      <c r="E493" t="s">
        <v>182</v>
      </c>
      <c r="F493">
        <v>1</v>
      </c>
      <c r="G493" t="s">
        <v>83</v>
      </c>
      <c r="H493" s="23">
        <v>46129</v>
      </c>
      <c r="I493" s="23">
        <v>14296</v>
      </c>
      <c r="J493">
        <v>775</v>
      </c>
      <c r="K493" t="s">
        <v>95</v>
      </c>
      <c r="L493" s="23">
        <v>1010000</v>
      </c>
      <c r="M493">
        <v>60</v>
      </c>
      <c r="N493">
        <v>14.53</v>
      </c>
      <c r="O493">
        <v>4</v>
      </c>
      <c r="P493">
        <v>2</v>
      </c>
      <c r="Q493" t="s">
        <v>85</v>
      </c>
    </row>
    <row r="494" customHeight="1" spans="1:17">
      <c r="A494" t="s">
        <v>1020</v>
      </c>
      <c r="B494" t="s">
        <v>568</v>
      </c>
      <c r="C494" t="s">
        <v>81</v>
      </c>
      <c r="D494">
        <v>43</v>
      </c>
      <c r="E494" t="s">
        <v>237</v>
      </c>
      <c r="F494">
        <v>1</v>
      </c>
      <c r="G494" t="s">
        <v>83</v>
      </c>
      <c r="H494" s="23">
        <v>83079</v>
      </c>
      <c r="I494" s="23">
        <v>7618</v>
      </c>
      <c r="J494">
        <v>759</v>
      </c>
      <c r="K494" t="s">
        <v>84</v>
      </c>
      <c r="L494" s="23">
        <v>1440000</v>
      </c>
      <c r="M494">
        <v>84</v>
      </c>
      <c r="N494">
        <v>10.72</v>
      </c>
      <c r="O494">
        <v>10</v>
      </c>
      <c r="P494">
        <v>0</v>
      </c>
      <c r="Q494" t="s">
        <v>85</v>
      </c>
    </row>
    <row r="495" customHeight="1" spans="1:17">
      <c r="A495" t="s">
        <v>1021</v>
      </c>
      <c r="B495" t="s">
        <v>1022</v>
      </c>
      <c r="C495" t="s">
        <v>109</v>
      </c>
      <c r="D495">
        <v>21</v>
      </c>
      <c r="E495" t="s">
        <v>172</v>
      </c>
      <c r="F495">
        <v>2</v>
      </c>
      <c r="G495" t="s">
        <v>83</v>
      </c>
      <c r="H495" s="23">
        <v>225812</v>
      </c>
      <c r="I495" s="23">
        <v>0</v>
      </c>
      <c r="J495">
        <v>738</v>
      </c>
      <c r="K495" t="s">
        <v>84</v>
      </c>
      <c r="L495" s="23">
        <v>640000</v>
      </c>
      <c r="M495">
        <v>84</v>
      </c>
      <c r="N495">
        <v>11.05</v>
      </c>
      <c r="O495">
        <v>9</v>
      </c>
      <c r="P495">
        <v>0</v>
      </c>
      <c r="Q495" t="s">
        <v>91</v>
      </c>
    </row>
    <row r="496" customHeight="1" spans="1:17">
      <c r="A496" t="s">
        <v>1023</v>
      </c>
      <c r="B496" t="s">
        <v>1024</v>
      </c>
      <c r="C496" t="s">
        <v>81</v>
      </c>
      <c r="D496">
        <v>38</v>
      </c>
      <c r="E496" t="s">
        <v>82</v>
      </c>
      <c r="F496">
        <v>2</v>
      </c>
      <c r="G496" t="s">
        <v>116</v>
      </c>
      <c r="H496" s="23">
        <v>75018</v>
      </c>
      <c r="I496" s="23">
        <v>0</v>
      </c>
      <c r="J496">
        <v>634</v>
      </c>
      <c r="K496" t="s">
        <v>119</v>
      </c>
      <c r="L496" s="23">
        <v>390000</v>
      </c>
      <c r="M496">
        <v>48</v>
      </c>
      <c r="N496">
        <v>11.41</v>
      </c>
      <c r="O496">
        <v>4</v>
      </c>
      <c r="P496">
        <v>1</v>
      </c>
      <c r="Q496" t="s">
        <v>85</v>
      </c>
    </row>
    <row r="497" customHeight="1" spans="1:17">
      <c r="A497" t="s">
        <v>1025</v>
      </c>
      <c r="B497" t="s">
        <v>1026</v>
      </c>
      <c r="C497" t="s">
        <v>109</v>
      </c>
      <c r="D497">
        <v>31</v>
      </c>
      <c r="E497" t="s">
        <v>169</v>
      </c>
      <c r="F497">
        <v>3</v>
      </c>
      <c r="G497" t="s">
        <v>83</v>
      </c>
      <c r="H497" s="23">
        <v>69079</v>
      </c>
      <c r="I497" s="23">
        <v>0</v>
      </c>
      <c r="J497">
        <v>873</v>
      </c>
      <c r="K497" t="s">
        <v>119</v>
      </c>
      <c r="L497" s="23">
        <v>350000</v>
      </c>
      <c r="M497">
        <v>48</v>
      </c>
      <c r="N497">
        <v>12.16</v>
      </c>
      <c r="O497">
        <v>1</v>
      </c>
      <c r="P497">
        <v>3</v>
      </c>
      <c r="Q497" t="s">
        <v>85</v>
      </c>
    </row>
    <row r="498" customHeight="1" spans="1:17">
      <c r="A498" t="s">
        <v>1027</v>
      </c>
      <c r="B498" t="s">
        <v>1028</v>
      </c>
      <c r="C498" t="s">
        <v>109</v>
      </c>
      <c r="D498">
        <v>50</v>
      </c>
      <c r="E498" t="s">
        <v>82</v>
      </c>
      <c r="F498">
        <v>2</v>
      </c>
      <c r="G498" t="s">
        <v>89</v>
      </c>
      <c r="H498" s="23">
        <v>30418</v>
      </c>
      <c r="I498" s="23">
        <v>2795</v>
      </c>
      <c r="J498">
        <v>651</v>
      </c>
      <c r="K498" t="s">
        <v>90</v>
      </c>
      <c r="L498" s="23">
        <v>320000</v>
      </c>
      <c r="M498">
        <v>60</v>
      </c>
      <c r="N498">
        <v>9.49</v>
      </c>
      <c r="O498">
        <v>1</v>
      </c>
      <c r="P498">
        <v>4</v>
      </c>
      <c r="Q498" t="s">
        <v>85</v>
      </c>
    </row>
    <row r="499" customHeight="1" spans="1:17">
      <c r="A499" t="s">
        <v>1029</v>
      </c>
      <c r="B499" t="s">
        <v>1030</v>
      </c>
      <c r="C499" t="s">
        <v>81</v>
      </c>
      <c r="D499">
        <v>24</v>
      </c>
      <c r="E499" t="s">
        <v>110</v>
      </c>
      <c r="F499">
        <v>1</v>
      </c>
      <c r="G499" t="s">
        <v>103</v>
      </c>
      <c r="H499" s="23">
        <v>62905</v>
      </c>
      <c r="I499" s="23">
        <v>0</v>
      </c>
      <c r="J499">
        <v>787</v>
      </c>
      <c r="K499" t="s">
        <v>84</v>
      </c>
      <c r="L499" s="23">
        <v>1320000</v>
      </c>
      <c r="M499">
        <v>84</v>
      </c>
      <c r="N499">
        <v>10.13</v>
      </c>
      <c r="O499">
        <v>2</v>
      </c>
      <c r="P499">
        <v>1</v>
      </c>
      <c r="Q499" t="s">
        <v>85</v>
      </c>
    </row>
    <row r="500" customHeight="1" spans="1:17">
      <c r="A500" t="s">
        <v>1031</v>
      </c>
      <c r="B500" t="s">
        <v>765</v>
      </c>
      <c r="C500" t="s">
        <v>81</v>
      </c>
      <c r="D500">
        <v>28</v>
      </c>
      <c r="E500" t="s">
        <v>94</v>
      </c>
      <c r="F500">
        <v>1</v>
      </c>
      <c r="G500" t="s">
        <v>83</v>
      </c>
      <c r="H500" s="23">
        <v>38252</v>
      </c>
      <c r="I500" s="23">
        <v>0</v>
      </c>
      <c r="J500">
        <v>614</v>
      </c>
      <c r="K500" t="s">
        <v>131</v>
      </c>
      <c r="L500" s="23">
        <v>310000</v>
      </c>
      <c r="M500">
        <v>36</v>
      </c>
      <c r="N500">
        <v>13.36</v>
      </c>
      <c r="O500">
        <v>0</v>
      </c>
      <c r="P500">
        <v>4</v>
      </c>
      <c r="Q500" t="s">
        <v>85</v>
      </c>
    </row>
    <row r="501" customHeight="1" spans="1:17">
      <c r="A501" t="s">
        <v>1032</v>
      </c>
      <c r="B501" t="s">
        <v>1033</v>
      </c>
      <c r="C501" t="s">
        <v>81</v>
      </c>
      <c r="D501">
        <v>35</v>
      </c>
      <c r="E501" t="s">
        <v>88</v>
      </c>
      <c r="F501">
        <v>3</v>
      </c>
      <c r="G501" t="s">
        <v>83</v>
      </c>
      <c r="H501" s="23">
        <v>111341</v>
      </c>
      <c r="I501" s="23">
        <v>5446</v>
      </c>
      <c r="J501">
        <v>734</v>
      </c>
      <c r="K501" t="s">
        <v>119</v>
      </c>
      <c r="L501" s="23">
        <v>730000</v>
      </c>
      <c r="M501">
        <v>48</v>
      </c>
      <c r="N501">
        <v>11.02</v>
      </c>
      <c r="O501">
        <v>5</v>
      </c>
      <c r="P501">
        <v>2</v>
      </c>
      <c r="Q501" t="s">
        <v>85</v>
      </c>
    </row>
  </sheetData>
  <autoFilter xmlns:etc="http://www.wps.cn/officeDocument/2017/etCustomData" ref="A1:Q501" etc:filterBottomFollowUsedRange="0">
    <extLst/>
  </autoFilter>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pane ySplit="1" topLeftCell="A2" activePane="bottomLeft" state="frozen"/>
      <selection/>
      <selection pane="bottomLeft" activeCell="A1" sqref="A1"/>
    </sheetView>
  </sheetViews>
  <sheetFormatPr defaultColWidth="8.67592592592593" defaultRowHeight="15" customHeight="1" outlineLevelCol="5"/>
  <cols>
    <col min="1" max="1" width="14" customWidth="1"/>
    <col min="2" max="2" width="22" customWidth="1"/>
    <col min="3" max="3" width="16" customWidth="1"/>
    <col min="4" max="4" width="20" customWidth="1"/>
    <col min="5" max="6" width="18" customWidth="1"/>
  </cols>
  <sheetData>
    <row r="1" ht="23.25" customHeight="1" spans="1:6">
      <c r="A1" s="22" t="s">
        <v>1034</v>
      </c>
      <c r="B1" s="22" t="s">
        <v>1035</v>
      </c>
      <c r="C1" s="22" t="s">
        <v>1036</v>
      </c>
      <c r="D1" s="22" t="s">
        <v>1037</v>
      </c>
      <c r="E1" s="22" t="s">
        <v>1038</v>
      </c>
      <c r="F1" s="22" t="s">
        <v>1039</v>
      </c>
    </row>
    <row r="2" customHeight="1" spans="1:6">
      <c r="A2" t="s">
        <v>1040</v>
      </c>
      <c r="B2" t="s">
        <v>62</v>
      </c>
      <c r="C2" t="s">
        <v>1041</v>
      </c>
      <c r="D2" t="s">
        <v>79</v>
      </c>
      <c r="E2">
        <v>500</v>
      </c>
      <c r="F2">
        <v>500</v>
      </c>
    </row>
    <row r="3" customHeight="1" spans="1:6">
      <c r="A3" t="s">
        <v>1040</v>
      </c>
      <c r="B3" t="s">
        <v>63</v>
      </c>
      <c r="C3" t="s">
        <v>1041</v>
      </c>
      <c r="D3" t="s">
        <v>80</v>
      </c>
      <c r="E3">
        <v>500</v>
      </c>
      <c r="F3">
        <v>421</v>
      </c>
    </row>
    <row r="4" customHeight="1" spans="1:6">
      <c r="A4" t="s">
        <v>1040</v>
      </c>
      <c r="B4" t="s">
        <v>64</v>
      </c>
      <c r="C4" t="s">
        <v>1041</v>
      </c>
      <c r="D4" t="s">
        <v>81</v>
      </c>
      <c r="E4">
        <v>500</v>
      </c>
      <c r="F4">
        <v>2</v>
      </c>
    </row>
    <row r="5" customHeight="1" spans="1:6">
      <c r="A5" t="s">
        <v>1040</v>
      </c>
      <c r="B5" t="s">
        <v>65</v>
      </c>
      <c r="C5" t="s">
        <v>1042</v>
      </c>
      <c r="D5" t="s">
        <v>1043</v>
      </c>
      <c r="E5">
        <v>500</v>
      </c>
      <c r="F5">
        <v>40</v>
      </c>
    </row>
    <row r="6" customHeight="1" spans="1:6">
      <c r="A6" t="s">
        <v>1040</v>
      </c>
      <c r="B6" t="s">
        <v>66</v>
      </c>
      <c r="C6" t="s">
        <v>1041</v>
      </c>
      <c r="D6" t="s">
        <v>82</v>
      </c>
      <c r="E6">
        <v>500</v>
      </c>
      <c r="F6">
        <v>20</v>
      </c>
    </row>
    <row r="7" customHeight="1" spans="1:6">
      <c r="A7" t="s">
        <v>1040</v>
      </c>
      <c r="B7" t="s">
        <v>67</v>
      </c>
      <c r="C7" t="s">
        <v>1042</v>
      </c>
      <c r="D7" t="s">
        <v>1044</v>
      </c>
      <c r="E7">
        <v>500</v>
      </c>
      <c r="F7">
        <v>3</v>
      </c>
    </row>
    <row r="8" customHeight="1" spans="1:6">
      <c r="A8" t="s">
        <v>1040</v>
      </c>
      <c r="B8" t="s">
        <v>68</v>
      </c>
      <c r="C8" t="s">
        <v>1041</v>
      </c>
      <c r="D8" t="s">
        <v>83</v>
      </c>
      <c r="E8">
        <v>500</v>
      </c>
      <c r="F8">
        <v>4</v>
      </c>
    </row>
    <row r="9" customHeight="1" spans="1:6">
      <c r="A9" t="s">
        <v>1040</v>
      </c>
      <c r="B9" t="s">
        <v>69</v>
      </c>
      <c r="C9" t="s">
        <v>1042</v>
      </c>
      <c r="D9" t="s">
        <v>1045</v>
      </c>
      <c r="E9">
        <v>500</v>
      </c>
      <c r="F9">
        <v>498</v>
      </c>
    </row>
    <row r="10" customHeight="1" spans="1:6">
      <c r="A10" t="s">
        <v>1040</v>
      </c>
      <c r="B10" t="s">
        <v>70</v>
      </c>
      <c r="C10" t="s">
        <v>1042</v>
      </c>
      <c r="D10" t="s">
        <v>1046</v>
      </c>
      <c r="E10">
        <v>500</v>
      </c>
      <c r="F10">
        <v>280</v>
      </c>
    </row>
    <row r="11" customHeight="1" spans="1:6">
      <c r="A11" t="s">
        <v>1040</v>
      </c>
      <c r="B11" t="s">
        <v>71</v>
      </c>
      <c r="C11" t="s">
        <v>1042</v>
      </c>
      <c r="D11" t="s">
        <v>1047</v>
      </c>
      <c r="E11">
        <v>500</v>
      </c>
      <c r="F11">
        <v>200</v>
      </c>
    </row>
    <row r="12" customHeight="1" spans="1:6">
      <c r="A12" t="s">
        <v>1040</v>
      </c>
      <c r="B12" t="s">
        <v>72</v>
      </c>
      <c r="C12" t="s">
        <v>1041</v>
      </c>
      <c r="D12" t="s">
        <v>84</v>
      </c>
      <c r="E12">
        <v>500</v>
      </c>
      <c r="F12">
        <v>6</v>
      </c>
    </row>
    <row r="13" customHeight="1" spans="1:6">
      <c r="A13" t="s">
        <v>1040</v>
      </c>
      <c r="B13" t="s">
        <v>73</v>
      </c>
      <c r="C13" t="s">
        <v>1042</v>
      </c>
      <c r="D13" t="s">
        <v>1048</v>
      </c>
      <c r="E13">
        <v>500</v>
      </c>
      <c r="F13">
        <v>193</v>
      </c>
    </row>
    <row r="14" customHeight="1" spans="1:6">
      <c r="A14" t="s">
        <v>1040</v>
      </c>
      <c r="B14" t="s">
        <v>74</v>
      </c>
      <c r="C14" t="s">
        <v>1042</v>
      </c>
      <c r="D14" t="s">
        <v>1049</v>
      </c>
      <c r="E14">
        <v>500</v>
      </c>
      <c r="F14">
        <v>5</v>
      </c>
    </row>
    <row r="15" customHeight="1" spans="1:6">
      <c r="A15" t="s">
        <v>1040</v>
      </c>
      <c r="B15" t="s">
        <v>75</v>
      </c>
      <c r="C15" t="s">
        <v>1050</v>
      </c>
      <c r="D15" t="s">
        <v>1051</v>
      </c>
      <c r="E15">
        <v>500</v>
      </c>
      <c r="F15">
        <v>323</v>
      </c>
    </row>
    <row r="16" customHeight="1" spans="1:6">
      <c r="A16" t="s">
        <v>1040</v>
      </c>
      <c r="B16" t="s">
        <v>76</v>
      </c>
      <c r="C16" t="s">
        <v>1042</v>
      </c>
      <c r="D16" t="s">
        <v>1044</v>
      </c>
      <c r="E16">
        <v>500</v>
      </c>
      <c r="F16">
        <v>22</v>
      </c>
    </row>
    <row r="17" customHeight="1" spans="1:6">
      <c r="A17" t="s">
        <v>1040</v>
      </c>
      <c r="B17" t="s">
        <v>77</v>
      </c>
      <c r="C17" t="s">
        <v>1042</v>
      </c>
      <c r="D17" t="s">
        <v>1052</v>
      </c>
      <c r="E17">
        <v>500</v>
      </c>
      <c r="F17">
        <v>5</v>
      </c>
    </row>
    <row r="18" customHeight="1" spans="1:6">
      <c r="A18" t="s">
        <v>1040</v>
      </c>
      <c r="B18" t="s">
        <v>78</v>
      </c>
      <c r="C18" t="s">
        <v>1041</v>
      </c>
      <c r="D18" t="s">
        <v>85</v>
      </c>
      <c r="E18">
        <v>500</v>
      </c>
      <c r="F18">
        <v>2</v>
      </c>
    </row>
  </sheetData>
  <autoFilter xmlns:etc="http://www.wps.cn/officeDocument/2017/etCustomData" ref="A1:F18" etc:filterBottomFollowUsedRange="0">
    <extLst/>
  </autoFilter>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1" workbookViewId="0">
      <pane ySplit="1" topLeftCell="A12" activePane="bottomLeft" state="frozen"/>
      <selection/>
      <selection pane="bottomLeft" activeCell="D20" sqref="D20"/>
    </sheetView>
  </sheetViews>
  <sheetFormatPr defaultColWidth="8.67592592592593" defaultRowHeight="15" customHeight="1"/>
  <cols>
    <col min="1" max="1" width="40" customWidth="1"/>
    <col min="2" max="2" width="21" customWidth="1"/>
    <col min="3" max="3" width="15" customWidth="1"/>
    <col min="4" max="5" width="21" customWidth="1"/>
    <col min="6" max="8" width="40" customWidth="1"/>
    <col min="9" max="9" width="18" customWidth="1"/>
    <col min="10" max="10" width="22" customWidth="1"/>
  </cols>
  <sheetData>
    <row r="1" customHeight="1" spans="1:10">
      <c r="A1" s="15" t="s">
        <v>1053</v>
      </c>
      <c r="B1" s="15"/>
      <c r="C1" s="15"/>
      <c r="D1" s="15"/>
      <c r="E1" s="15"/>
      <c r="F1" s="15"/>
      <c r="G1" s="15"/>
      <c r="H1" s="15"/>
      <c r="I1" s="15"/>
      <c r="J1" s="15"/>
    </row>
    <row r="2" ht="48" customHeight="1" spans="1:10">
      <c r="A2" s="17" t="s">
        <v>1054</v>
      </c>
    </row>
    <row r="3" ht="23.25" customHeight="1" spans="1:10">
      <c r="A3" s="18" t="s">
        <v>1055</v>
      </c>
      <c r="B3" s="18" t="s">
        <v>1056</v>
      </c>
      <c r="C3" s="18" t="s">
        <v>1057</v>
      </c>
      <c r="D3" s="18" t="s">
        <v>1058</v>
      </c>
      <c r="E3" s="18" t="s">
        <v>1059</v>
      </c>
      <c r="F3" s="18" t="s">
        <v>1060</v>
      </c>
      <c r="G3" s="18" t="s">
        <v>1061</v>
      </c>
      <c r="H3" s="18" t="s">
        <v>1062</v>
      </c>
      <c r="I3" s="18" t="s">
        <v>1063</v>
      </c>
      <c r="J3" s="18" t="s">
        <v>1064</v>
      </c>
    </row>
    <row r="4" ht="100" customHeight="1" spans="1:10">
      <c r="A4" s="19">
        <v>1</v>
      </c>
      <c r="B4" s="20" t="s">
        <v>1065</v>
      </c>
      <c r="C4" s="21" t="s">
        <v>1066</v>
      </c>
      <c r="D4" s="21" t="s">
        <v>1067</v>
      </c>
      <c r="E4" s="21" t="s">
        <v>1068</v>
      </c>
      <c r="F4" s="21" t="s">
        <v>1069</v>
      </c>
      <c r="G4" s="21" t="s">
        <v>1070</v>
      </c>
      <c r="H4" s="21" t="s">
        <v>1071</v>
      </c>
      <c r="I4" s="21" t="s">
        <v>1072</v>
      </c>
      <c r="J4" s="21" t="s">
        <v>1073</v>
      </c>
    </row>
    <row r="5" ht="100" customHeight="1" spans="1:10">
      <c r="A5" s="19">
        <v>2</v>
      </c>
      <c r="B5" s="20" t="s">
        <v>1065</v>
      </c>
      <c r="C5" s="21" t="s">
        <v>1066</v>
      </c>
      <c r="D5" s="21" t="s">
        <v>1074</v>
      </c>
      <c r="E5" s="21" t="s">
        <v>1068</v>
      </c>
      <c r="F5" s="21" t="s">
        <v>1075</v>
      </c>
      <c r="G5" s="21" t="s">
        <v>1076</v>
      </c>
      <c r="H5" s="21" t="s">
        <v>1077</v>
      </c>
      <c r="I5" s="21" t="s">
        <v>1078</v>
      </c>
      <c r="J5" s="21" t="s">
        <v>1079</v>
      </c>
    </row>
    <row r="6" ht="100" customHeight="1" spans="1:10">
      <c r="A6" s="19">
        <v>3</v>
      </c>
      <c r="B6" s="20" t="s">
        <v>1065</v>
      </c>
      <c r="C6" s="21" t="s">
        <v>1066</v>
      </c>
      <c r="D6" s="21" t="s">
        <v>1080</v>
      </c>
      <c r="E6" s="21" t="s">
        <v>1068</v>
      </c>
      <c r="F6" s="21" t="s">
        <v>1081</v>
      </c>
      <c r="G6" s="21" t="s">
        <v>1082</v>
      </c>
      <c r="H6" s="21" t="s">
        <v>1083</v>
      </c>
      <c r="I6" s="21" t="s">
        <v>1084</v>
      </c>
      <c r="J6" s="21" t="s">
        <v>1085</v>
      </c>
    </row>
    <row r="7" ht="100" customHeight="1" spans="1:10">
      <c r="A7" s="19">
        <v>4</v>
      </c>
      <c r="B7" s="20" t="s">
        <v>1065</v>
      </c>
      <c r="C7" s="21" t="s">
        <v>1066</v>
      </c>
      <c r="D7" s="21" t="s">
        <v>1086</v>
      </c>
      <c r="E7" s="21" t="s">
        <v>1068</v>
      </c>
      <c r="F7" s="21" t="s">
        <v>1087</v>
      </c>
      <c r="G7" s="21" t="s">
        <v>1088</v>
      </c>
      <c r="H7" s="21" t="s">
        <v>1089</v>
      </c>
      <c r="I7" s="21" t="s">
        <v>1090</v>
      </c>
      <c r="J7" s="21" t="s">
        <v>1091</v>
      </c>
    </row>
    <row r="8" ht="100" customHeight="1" spans="1:10">
      <c r="A8" s="19">
        <v>5</v>
      </c>
      <c r="B8" s="20" t="s">
        <v>1065</v>
      </c>
      <c r="C8" s="21" t="s">
        <v>1066</v>
      </c>
      <c r="D8" s="21" t="s">
        <v>1092</v>
      </c>
      <c r="E8" s="21" t="s">
        <v>1068</v>
      </c>
      <c r="F8" s="21" t="s">
        <v>1093</v>
      </c>
      <c r="G8" s="21" t="s">
        <v>1094</v>
      </c>
      <c r="H8" s="21" t="s">
        <v>1095</v>
      </c>
      <c r="I8" s="21" t="s">
        <v>1096</v>
      </c>
      <c r="J8" s="21" t="s">
        <v>1097</v>
      </c>
    </row>
    <row r="9" ht="100" customHeight="1" spans="1:10">
      <c r="A9" s="19">
        <v>6</v>
      </c>
      <c r="B9" s="20" t="s">
        <v>1065</v>
      </c>
      <c r="C9" s="21" t="s">
        <v>1066</v>
      </c>
      <c r="D9" s="21" t="s">
        <v>1098</v>
      </c>
      <c r="E9" s="21" t="s">
        <v>1068</v>
      </c>
      <c r="F9" s="21" t="s">
        <v>1099</v>
      </c>
      <c r="G9" s="21" t="s">
        <v>1100</v>
      </c>
      <c r="H9" s="21" t="s">
        <v>1101</v>
      </c>
      <c r="I9" s="21" t="s">
        <v>1102</v>
      </c>
      <c r="J9" s="21" t="s">
        <v>1103</v>
      </c>
    </row>
    <row r="10" ht="100" customHeight="1" spans="1:10">
      <c r="A10" s="19">
        <v>7</v>
      </c>
      <c r="B10" s="20" t="s">
        <v>1065</v>
      </c>
      <c r="C10" s="21" t="s">
        <v>1066</v>
      </c>
      <c r="D10" s="21" t="s">
        <v>1104</v>
      </c>
      <c r="E10" s="21" t="s">
        <v>1068</v>
      </c>
      <c r="F10" s="21" t="s">
        <v>1105</v>
      </c>
      <c r="G10" s="21" t="s">
        <v>1106</v>
      </c>
      <c r="H10" s="21" t="s">
        <v>1107</v>
      </c>
      <c r="I10" s="21" t="s">
        <v>1108</v>
      </c>
      <c r="J10" s="21" t="s">
        <v>1109</v>
      </c>
    </row>
    <row r="11" ht="100" customHeight="1" spans="1:10">
      <c r="A11" s="19">
        <v>8</v>
      </c>
      <c r="B11" s="20" t="s">
        <v>1065</v>
      </c>
      <c r="C11" s="21" t="s">
        <v>1066</v>
      </c>
      <c r="D11" s="21" t="s">
        <v>1110</v>
      </c>
      <c r="E11" s="21" t="s">
        <v>1068</v>
      </c>
      <c r="F11" s="21" t="s">
        <v>1111</v>
      </c>
      <c r="G11" s="21" t="s">
        <v>1112</v>
      </c>
      <c r="H11" s="21" t="s">
        <v>1113</v>
      </c>
      <c r="I11" s="21" t="s">
        <v>1114</v>
      </c>
      <c r="J11" s="21" t="s">
        <v>1115</v>
      </c>
    </row>
    <row r="12" ht="100" customHeight="1" spans="1:10">
      <c r="A12" s="19">
        <v>9</v>
      </c>
      <c r="B12" s="20" t="s">
        <v>1065</v>
      </c>
      <c r="C12" s="21" t="s">
        <v>1066</v>
      </c>
      <c r="D12" s="21" t="s">
        <v>1116</v>
      </c>
      <c r="E12" s="21" t="s">
        <v>1068</v>
      </c>
      <c r="F12" s="21" t="s">
        <v>1117</v>
      </c>
      <c r="G12" s="21" t="s">
        <v>1118</v>
      </c>
      <c r="H12" s="21" t="s">
        <v>1119</v>
      </c>
      <c r="I12" s="21" t="s">
        <v>1120</v>
      </c>
      <c r="J12" s="21" t="s">
        <v>1121</v>
      </c>
    </row>
    <row r="13" ht="100" customHeight="1" spans="1:10">
      <c r="A13" s="19">
        <v>10</v>
      </c>
      <c r="B13" s="20" t="s">
        <v>1065</v>
      </c>
      <c r="C13" s="21" t="s">
        <v>1066</v>
      </c>
      <c r="D13" s="21" t="s">
        <v>1122</v>
      </c>
      <c r="E13" s="21" t="s">
        <v>1068</v>
      </c>
      <c r="F13" s="21" t="s">
        <v>1123</v>
      </c>
      <c r="G13" s="21" t="s">
        <v>1124</v>
      </c>
      <c r="H13" s="21" t="s">
        <v>1125</v>
      </c>
      <c r="I13" s="21" t="s">
        <v>1126</v>
      </c>
      <c r="J13" s="21" t="s">
        <v>1127</v>
      </c>
    </row>
    <row r="14" ht="100" customHeight="1" spans="1:10">
      <c r="A14" s="19">
        <v>11</v>
      </c>
      <c r="B14" s="20" t="s">
        <v>1065</v>
      </c>
      <c r="C14" s="21" t="s">
        <v>1066</v>
      </c>
      <c r="D14" s="21" t="s">
        <v>1128</v>
      </c>
      <c r="E14" s="21" t="s">
        <v>1068</v>
      </c>
      <c r="F14" s="21" t="s">
        <v>1129</v>
      </c>
      <c r="G14" s="21" t="s">
        <v>1130</v>
      </c>
      <c r="H14" s="21" t="s">
        <v>1131</v>
      </c>
      <c r="I14" s="21" t="s">
        <v>1132</v>
      </c>
      <c r="J14" s="21" t="s">
        <v>1133</v>
      </c>
    </row>
    <row r="15" ht="100" customHeight="1" spans="1:10">
      <c r="A15" s="19">
        <v>12</v>
      </c>
      <c r="B15" s="20" t="s">
        <v>1065</v>
      </c>
      <c r="C15" s="21" t="s">
        <v>1066</v>
      </c>
      <c r="D15" s="21" t="s">
        <v>1134</v>
      </c>
      <c r="E15" s="21" t="s">
        <v>1068</v>
      </c>
      <c r="F15" s="21" t="s">
        <v>1135</v>
      </c>
      <c r="G15" s="21" t="s">
        <v>1136</v>
      </c>
      <c r="H15" s="21" t="s">
        <v>1137</v>
      </c>
      <c r="I15" s="21" t="s">
        <v>1138</v>
      </c>
      <c r="J15" s="21" t="s">
        <v>1139</v>
      </c>
    </row>
    <row r="16" ht="100" customHeight="1" spans="1:10">
      <c r="A16" s="19">
        <v>13</v>
      </c>
      <c r="B16" s="20" t="s">
        <v>1065</v>
      </c>
      <c r="C16" s="21" t="s">
        <v>1066</v>
      </c>
      <c r="D16" s="21" t="s">
        <v>1140</v>
      </c>
      <c r="E16" s="21" t="s">
        <v>1068</v>
      </c>
      <c r="F16" s="21" t="s">
        <v>1141</v>
      </c>
      <c r="G16" s="21" t="s">
        <v>1142</v>
      </c>
      <c r="H16" s="21" t="s">
        <v>1143</v>
      </c>
      <c r="I16" s="21" t="s">
        <v>1144</v>
      </c>
      <c r="J16" s="21" t="s">
        <v>1145</v>
      </c>
    </row>
    <row r="17" ht="100" customHeight="1" spans="1:10">
      <c r="A17" s="19">
        <v>14</v>
      </c>
      <c r="B17" s="20" t="s">
        <v>1065</v>
      </c>
      <c r="C17" s="21" t="s">
        <v>1066</v>
      </c>
      <c r="D17" s="21" t="s">
        <v>1146</v>
      </c>
      <c r="E17" s="21" t="s">
        <v>1068</v>
      </c>
      <c r="F17" s="21" t="s">
        <v>1147</v>
      </c>
      <c r="G17" s="21" t="s">
        <v>1148</v>
      </c>
      <c r="H17" s="21" t="s">
        <v>1149</v>
      </c>
      <c r="I17" s="21" t="s">
        <v>1150</v>
      </c>
      <c r="J17" s="21" t="s">
        <v>1151</v>
      </c>
    </row>
    <row r="18" ht="100" customHeight="1" spans="1:10">
      <c r="A18" s="19">
        <v>15</v>
      </c>
      <c r="B18" s="20" t="s">
        <v>1065</v>
      </c>
      <c r="C18" s="21" t="s">
        <v>1066</v>
      </c>
      <c r="D18" s="21" t="s">
        <v>1152</v>
      </c>
      <c r="E18" s="21" t="s">
        <v>1068</v>
      </c>
      <c r="F18" s="21" t="s">
        <v>1153</v>
      </c>
      <c r="G18" s="21" t="s">
        <v>1154</v>
      </c>
      <c r="H18" s="21" t="s">
        <v>1155</v>
      </c>
      <c r="I18" s="21" t="s">
        <v>1156</v>
      </c>
      <c r="J18" s="21" t="s">
        <v>1157</v>
      </c>
    </row>
    <row r="19" ht="14" customHeight="1" spans="1:10">
      <c r="A19" s="19">
        <v>16</v>
      </c>
      <c r="B19" s="20"/>
      <c r="C19" s="21"/>
      <c r="D19" s="21"/>
      <c r="E19" s="21"/>
      <c r="F19" s="21"/>
      <c r="G19" s="21"/>
      <c r="H19" s="21"/>
      <c r="I19" s="21"/>
      <c r="J19" s="21"/>
    </row>
    <row r="20" customHeight="1" spans="1:10">
      <c r="A20" s="19">
        <v>17</v>
      </c>
      <c r="B20" s="20"/>
      <c r="C20" s="21"/>
      <c r="D20" s="21"/>
      <c r="E20" s="21"/>
      <c r="F20" s="21"/>
      <c r="G20" s="21"/>
      <c r="H20" s="21"/>
      <c r="I20" s="21"/>
      <c r="J20" s="21"/>
    </row>
    <row r="21" customHeight="1" spans="1:10">
      <c r="A21" s="19">
        <v>18</v>
      </c>
      <c r="B21" s="20"/>
      <c r="C21" s="21"/>
      <c r="D21" s="21"/>
      <c r="E21" s="21"/>
      <c r="F21" s="21"/>
      <c r="G21" s="21"/>
      <c r="H21" s="21"/>
      <c r="I21" s="21"/>
      <c r="J21" s="21"/>
    </row>
    <row r="22" customHeight="1" spans="1:10">
      <c r="A22" s="19">
        <v>19</v>
      </c>
      <c r="B22" s="20"/>
      <c r="C22" s="21"/>
      <c r="D22" s="21"/>
      <c r="E22" s="21"/>
      <c r="F22" s="21"/>
      <c r="G22" s="21"/>
      <c r="H22" s="21"/>
      <c r="I22" s="21"/>
      <c r="J22" s="21"/>
    </row>
    <row r="23" customHeight="1" spans="1:10">
      <c r="A23" s="19">
        <v>20</v>
      </c>
      <c r="B23" s="20"/>
      <c r="C23" s="21"/>
      <c r="D23" s="21"/>
      <c r="E23" s="21"/>
      <c r="F23" s="21"/>
      <c r="G23" s="21"/>
      <c r="H23" s="21"/>
      <c r="I23" s="21"/>
      <c r="J23" s="21"/>
    </row>
    <row r="24" customHeight="1" spans="1:10">
      <c r="A24" s="19">
        <v>21</v>
      </c>
      <c r="B24" s="20"/>
      <c r="C24" s="21"/>
      <c r="D24" s="21"/>
      <c r="E24" s="21"/>
      <c r="F24" s="21"/>
      <c r="G24" s="21"/>
      <c r="H24" s="21"/>
      <c r="I24" s="21"/>
      <c r="J24" s="21"/>
    </row>
    <row r="25" customHeight="1" spans="1:10">
      <c r="A25" s="19">
        <v>22</v>
      </c>
      <c r="B25" s="20"/>
      <c r="C25" s="21"/>
      <c r="D25" s="21"/>
      <c r="E25" s="21"/>
      <c r="F25" s="21"/>
      <c r="G25" s="21"/>
      <c r="H25" s="21"/>
      <c r="I25" s="21"/>
      <c r="J25" s="21"/>
    </row>
    <row r="26" customHeight="1" spans="1:10">
      <c r="A26" s="19">
        <v>23</v>
      </c>
      <c r="B26" s="20"/>
      <c r="C26" s="21"/>
      <c r="D26" s="21"/>
      <c r="E26" s="21"/>
      <c r="F26" s="21"/>
      <c r="G26" s="21"/>
      <c r="H26" s="21"/>
      <c r="I26" s="21"/>
      <c r="J26" s="21"/>
    </row>
    <row r="27" customHeight="1" spans="1:10">
      <c r="A27" s="19">
        <v>24</v>
      </c>
      <c r="B27" s="20"/>
      <c r="C27" s="21"/>
      <c r="D27" s="21"/>
      <c r="E27" s="21"/>
      <c r="F27" s="21"/>
      <c r="G27" s="21"/>
      <c r="H27" s="21"/>
      <c r="I27" s="21"/>
      <c r="J27" s="21"/>
    </row>
    <row r="28" customHeight="1" spans="1:10">
      <c r="A28" s="19">
        <v>25</v>
      </c>
      <c r="B28" s="20"/>
      <c r="C28" s="21"/>
      <c r="D28" s="21"/>
      <c r="E28" s="21"/>
      <c r="F28" s="21"/>
      <c r="G28" s="21"/>
      <c r="H28" s="21"/>
      <c r="I28" s="21"/>
      <c r="J28" s="21"/>
    </row>
  </sheetData>
  <autoFilter xmlns:etc="http://www.wps.cn/officeDocument/2017/etCustomData" ref="A1:J28" etc:filterBottomFollowUsedRange="0">
    <extLst/>
  </autoFilter>
  <mergeCells count="1">
    <mergeCell ref="A2:J2"/>
  </mergeCells>
  <dataValidations count="1">
    <dataValidation type="list" allowBlank="1" sqref="I4:I28">
      <formula1>"Kept,Rejected,Partly kept"</formula1>
    </dataValidation>
  </dataValidation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01"/>
  <sheetViews>
    <sheetView workbookViewId="0">
      <pane ySplit="1" topLeftCell="A2" activePane="bottomLeft" state="frozen"/>
      <selection/>
      <selection pane="bottomLeft" activeCell="A1" sqref="A1"/>
    </sheetView>
  </sheetViews>
  <sheetFormatPr defaultColWidth="8.67592592592593" defaultRowHeight="15" customHeight="1"/>
  <cols>
    <col min="1" max="1" width="14" customWidth="1"/>
    <col min="2" max="2" width="22" customWidth="1"/>
    <col min="3" max="5" width="18" customWidth="1"/>
    <col min="6" max="6" width="15" customWidth="1"/>
    <col min="7" max="7" width="16" customWidth="1"/>
    <col min="8" max="8" width="14" customWidth="1"/>
    <col min="9" max="9" width="18" customWidth="1"/>
    <col min="10" max="11" width="14" customWidth="1"/>
    <col min="12" max="13" width="18" customWidth="1"/>
    <col min="14" max="14" width="42" customWidth="1"/>
    <col min="15" max="15" width="18" customWidth="1"/>
  </cols>
  <sheetData>
    <row r="1" ht="31.5" customHeight="1" spans="1:15">
      <c r="A1" s="1" t="s">
        <v>62</v>
      </c>
      <c r="B1" s="1" t="s">
        <v>63</v>
      </c>
      <c r="C1" s="1" t="s">
        <v>69</v>
      </c>
      <c r="D1" s="1" t="s">
        <v>70</v>
      </c>
      <c r="E1" s="1" t="s">
        <v>73</v>
      </c>
      <c r="F1" s="1" t="s">
        <v>74</v>
      </c>
      <c r="G1" s="1" t="s">
        <v>75</v>
      </c>
      <c r="H1" s="1" t="s">
        <v>71</v>
      </c>
      <c r="I1" s="1" t="s">
        <v>1158</v>
      </c>
      <c r="J1" s="1" t="s">
        <v>1159</v>
      </c>
      <c r="K1" s="1" t="s">
        <v>1160</v>
      </c>
      <c r="L1" s="1" t="s">
        <v>1161</v>
      </c>
      <c r="M1" s="1" t="s">
        <v>1162</v>
      </c>
      <c r="N1" s="1" t="s">
        <v>1163</v>
      </c>
      <c r="O1" s="1" t="s">
        <v>1164</v>
      </c>
    </row>
    <row r="2" customHeight="1" spans="1:15">
      <c r="A2" s="3" t="s">
        <v>79</v>
      </c>
      <c r="B2" s="3" t="s">
        <v>80</v>
      </c>
      <c r="C2" s="10">
        <v>65492</v>
      </c>
      <c r="D2" s="10">
        <v>26672</v>
      </c>
      <c r="E2" s="10">
        <v>1250000</v>
      </c>
      <c r="F2" s="10">
        <v>84</v>
      </c>
      <c r="G2" s="16">
        <v>11.06</v>
      </c>
      <c r="H2" s="10">
        <v>668</v>
      </c>
      <c r="I2" s="10">
        <f t="shared" ref="I2:I65" si="0">IF(F2&lt;=0,"",IF(G2=0,E2/F2,E2*(G2/12/100)*(1+G2/12/100)^F2/((1+G2/12/100)^F2-1)))</f>
        <v>21442.5002966384</v>
      </c>
      <c r="J2" s="12">
        <f t="shared" ref="J2:J65" si="1">IF(C2&lt;=0,"",(D2+I2)/C2)</f>
        <v>0.734662253353668</v>
      </c>
      <c r="K2" s="3" t="b">
        <f t="shared" ref="K2:K65" si="2">IF(J2="","",J2&lt;=50%)</f>
        <v>0</v>
      </c>
      <c r="L2" s="3" t="b">
        <f t="shared" ref="L2:L65" si="3">H2&gt;=700</f>
        <v>0</v>
      </c>
      <c r="M2" s="3" t="str">
        <f t="shared" ref="M2:M65" si="4">IF(AND(K2,L2),"Eligible","Not Eligible")</f>
        <v>Not Eligible</v>
      </c>
      <c r="N2" s="3" t="str">
        <f t="shared" ref="N2:N65" si="5">IF(M2="Eligible","",IF(AND(NOT(K2),NOT(L2)),"FOIR exceeds 50% and credit score below 700",IF(NOT(K2),"FOIR exceeds 50%","Credit score below 700")))</f>
        <v>FOIR exceeds 50% and credit score below 700</v>
      </c>
      <c r="O2" s="3" t="s">
        <v>85</v>
      </c>
    </row>
    <row r="3" customHeight="1" spans="1:15">
      <c r="A3" s="3" t="s">
        <v>86</v>
      </c>
      <c r="B3" s="3" t="s">
        <v>87</v>
      </c>
      <c r="C3" s="10">
        <v>28588</v>
      </c>
      <c r="D3" s="10">
        <v>0</v>
      </c>
      <c r="E3" s="10">
        <v>610000</v>
      </c>
      <c r="F3" s="10">
        <v>60</v>
      </c>
      <c r="G3" s="16">
        <v>9.8</v>
      </c>
      <c r="H3" s="10">
        <v>624</v>
      </c>
      <c r="I3" s="10">
        <f t="shared" si="0"/>
        <v>12900.7499389288</v>
      </c>
      <c r="J3" s="12">
        <f t="shared" si="1"/>
        <v>0.451264514444131</v>
      </c>
      <c r="K3" s="3" t="b">
        <f t="shared" si="2"/>
        <v>1</v>
      </c>
      <c r="L3" s="3" t="b">
        <f t="shared" si="3"/>
        <v>0</v>
      </c>
      <c r="M3" s="3" t="str">
        <f t="shared" si="4"/>
        <v>Not Eligible</v>
      </c>
      <c r="N3" s="3" t="str">
        <f t="shared" si="5"/>
        <v>Credit score below 700</v>
      </c>
      <c r="O3" s="3" t="s">
        <v>91</v>
      </c>
    </row>
    <row r="4" customHeight="1" spans="1:15">
      <c r="A4" s="3" t="s">
        <v>92</v>
      </c>
      <c r="B4" s="3" t="s">
        <v>93</v>
      </c>
      <c r="C4" s="10">
        <v>39282</v>
      </c>
      <c r="D4" s="10">
        <v>0</v>
      </c>
      <c r="E4" s="10">
        <v>640000</v>
      </c>
      <c r="F4" s="10">
        <v>60</v>
      </c>
      <c r="G4" s="16">
        <v>13.83</v>
      </c>
      <c r="H4" s="10">
        <v>880</v>
      </c>
      <c r="I4" s="10">
        <f t="shared" si="0"/>
        <v>14835.3347259779</v>
      </c>
      <c r="J4" s="12">
        <f t="shared" si="1"/>
        <v>0.377662408379867</v>
      </c>
      <c r="K4" s="3" t="b">
        <f t="shared" si="2"/>
        <v>1</v>
      </c>
      <c r="L4" s="3" t="b">
        <f t="shared" si="3"/>
        <v>1</v>
      </c>
      <c r="M4" s="3" t="str">
        <f t="shared" si="4"/>
        <v>Eligible</v>
      </c>
      <c r="N4" s="3" t="str">
        <f t="shared" si="5"/>
        <v/>
      </c>
      <c r="O4" s="3" t="s">
        <v>85</v>
      </c>
    </row>
    <row r="5" customHeight="1" spans="1:15">
      <c r="A5" s="3" t="s">
        <v>96</v>
      </c>
      <c r="B5" s="3" t="s">
        <v>97</v>
      </c>
      <c r="C5" s="10">
        <v>72926</v>
      </c>
      <c r="D5" s="10">
        <v>24175</v>
      </c>
      <c r="E5" s="10">
        <v>1230000</v>
      </c>
      <c r="F5" s="10">
        <v>60</v>
      </c>
      <c r="G5" s="16">
        <v>14.27</v>
      </c>
      <c r="H5" s="10">
        <v>657</v>
      </c>
      <c r="I5" s="10">
        <f t="shared" si="0"/>
        <v>28792.4128336621</v>
      </c>
      <c r="J5" s="12">
        <f t="shared" si="1"/>
        <v>0.726317264537505</v>
      </c>
      <c r="K5" s="3" t="b">
        <f t="shared" si="2"/>
        <v>0</v>
      </c>
      <c r="L5" s="3" t="b">
        <f t="shared" si="3"/>
        <v>0</v>
      </c>
      <c r="M5" s="3" t="str">
        <f t="shared" si="4"/>
        <v>Not Eligible</v>
      </c>
      <c r="N5" s="3" t="str">
        <f t="shared" si="5"/>
        <v>FOIR exceeds 50% and credit score below 700</v>
      </c>
      <c r="O5" s="3" t="s">
        <v>91</v>
      </c>
    </row>
    <row r="6" customHeight="1" spans="1:15">
      <c r="A6" s="3" t="s">
        <v>99</v>
      </c>
      <c r="B6" s="3" t="s">
        <v>100</v>
      </c>
      <c r="C6" s="10">
        <v>41783</v>
      </c>
      <c r="D6" s="10">
        <v>0</v>
      </c>
      <c r="E6" s="10">
        <v>460000</v>
      </c>
      <c r="F6" s="10">
        <v>60</v>
      </c>
      <c r="G6" s="16">
        <v>9.69</v>
      </c>
      <c r="H6" s="10">
        <v>751</v>
      </c>
      <c r="I6" s="10">
        <f t="shared" si="0"/>
        <v>9703.62349461608</v>
      </c>
      <c r="J6" s="12">
        <f t="shared" si="1"/>
        <v>0.232238553828497</v>
      </c>
      <c r="K6" s="3" t="b">
        <f t="shared" si="2"/>
        <v>1</v>
      </c>
      <c r="L6" s="3" t="b">
        <f t="shared" si="3"/>
        <v>1</v>
      </c>
      <c r="M6" s="3" t="str">
        <f t="shared" si="4"/>
        <v>Eligible</v>
      </c>
      <c r="N6" s="3" t="str">
        <f t="shared" si="5"/>
        <v/>
      </c>
      <c r="O6" s="3" t="s">
        <v>91</v>
      </c>
    </row>
    <row r="7" customHeight="1" spans="1:15">
      <c r="A7" s="3" t="s">
        <v>101</v>
      </c>
      <c r="B7" s="3" t="s">
        <v>102</v>
      </c>
      <c r="C7" s="10">
        <v>105880</v>
      </c>
      <c r="D7" s="10">
        <v>37735</v>
      </c>
      <c r="E7" s="10">
        <v>360000</v>
      </c>
      <c r="F7" s="10">
        <v>60</v>
      </c>
      <c r="G7" s="16">
        <v>9.6</v>
      </c>
      <c r="H7" s="10">
        <v>691</v>
      </c>
      <c r="I7" s="10">
        <f t="shared" si="0"/>
        <v>7578.27502689045</v>
      </c>
      <c r="J7" s="12">
        <f t="shared" si="1"/>
        <v>0.427968218992165</v>
      </c>
      <c r="K7" s="3" t="b">
        <f t="shared" si="2"/>
        <v>1</v>
      </c>
      <c r="L7" s="3" t="b">
        <f t="shared" si="3"/>
        <v>0</v>
      </c>
      <c r="M7" s="3" t="str">
        <f t="shared" si="4"/>
        <v>Not Eligible</v>
      </c>
      <c r="N7" s="3" t="str">
        <f t="shared" si="5"/>
        <v>Credit score below 700</v>
      </c>
      <c r="O7" s="3" t="s">
        <v>85</v>
      </c>
    </row>
    <row r="8" customHeight="1" spans="1:15">
      <c r="A8" s="3" t="s">
        <v>104</v>
      </c>
      <c r="B8" s="3" t="s">
        <v>105</v>
      </c>
      <c r="C8" s="10">
        <v>34761</v>
      </c>
      <c r="D8" s="10">
        <v>7726</v>
      </c>
      <c r="E8" s="10">
        <v>1030000</v>
      </c>
      <c r="F8" s="10">
        <v>60</v>
      </c>
      <c r="G8" s="16">
        <v>10.57</v>
      </c>
      <c r="H8" s="10">
        <v>799</v>
      </c>
      <c r="I8" s="10">
        <f t="shared" si="0"/>
        <v>22174.4511220138</v>
      </c>
      <c r="J8" s="12">
        <f t="shared" si="1"/>
        <v>0.860172351831473</v>
      </c>
      <c r="K8" s="3" t="b">
        <f t="shared" si="2"/>
        <v>0</v>
      </c>
      <c r="L8" s="3" t="b">
        <f t="shared" si="3"/>
        <v>1</v>
      </c>
      <c r="M8" s="3" t="str">
        <f t="shared" si="4"/>
        <v>Not Eligible</v>
      </c>
      <c r="N8" s="3" t="str">
        <f t="shared" si="5"/>
        <v>FOIR exceeds 50%</v>
      </c>
      <c r="O8" s="3" t="s">
        <v>85</v>
      </c>
    </row>
    <row r="9" customHeight="1" spans="1:15">
      <c r="A9" s="3" t="s">
        <v>107</v>
      </c>
      <c r="B9" s="3" t="s">
        <v>108</v>
      </c>
      <c r="C9" s="10">
        <v>57306</v>
      </c>
      <c r="D9" s="10">
        <v>0</v>
      </c>
      <c r="E9" s="10">
        <v>1370000</v>
      </c>
      <c r="F9" s="10">
        <v>60</v>
      </c>
      <c r="G9" s="16">
        <v>14.76</v>
      </c>
      <c r="H9" s="10">
        <v>767</v>
      </c>
      <c r="I9" s="10">
        <f t="shared" si="0"/>
        <v>32419.8676435359</v>
      </c>
      <c r="J9" s="12">
        <f t="shared" si="1"/>
        <v>0.565732517424631</v>
      </c>
      <c r="K9" s="3" t="b">
        <f t="shared" si="2"/>
        <v>0</v>
      </c>
      <c r="L9" s="3" t="b">
        <f t="shared" si="3"/>
        <v>1</v>
      </c>
      <c r="M9" s="3" t="str">
        <f t="shared" si="4"/>
        <v>Not Eligible</v>
      </c>
      <c r="N9" s="3" t="str">
        <f t="shared" si="5"/>
        <v>FOIR exceeds 50%</v>
      </c>
      <c r="O9" s="3" t="s">
        <v>85</v>
      </c>
    </row>
    <row r="10" customHeight="1" spans="1:15">
      <c r="A10" s="3" t="s">
        <v>111</v>
      </c>
      <c r="B10" s="3" t="s">
        <v>112</v>
      </c>
      <c r="C10" s="10">
        <v>88230</v>
      </c>
      <c r="D10" s="10">
        <v>13143</v>
      </c>
      <c r="E10" s="10">
        <v>1120000</v>
      </c>
      <c r="F10" s="10">
        <v>84</v>
      </c>
      <c r="G10" s="16">
        <v>10.45</v>
      </c>
      <c r="H10" s="10">
        <v>714</v>
      </c>
      <c r="I10" s="10">
        <f t="shared" si="0"/>
        <v>18854.7762899504</v>
      </c>
      <c r="J10" s="12">
        <f t="shared" si="1"/>
        <v>0.362663224412902</v>
      </c>
      <c r="K10" s="3" t="b">
        <f t="shared" si="2"/>
        <v>1</v>
      </c>
      <c r="L10" s="3" t="b">
        <f t="shared" si="3"/>
        <v>1</v>
      </c>
      <c r="M10" s="3" t="str">
        <f t="shared" si="4"/>
        <v>Eligible</v>
      </c>
      <c r="N10" s="3" t="str">
        <f t="shared" si="5"/>
        <v/>
      </c>
      <c r="O10" s="3" t="s">
        <v>85</v>
      </c>
    </row>
    <row r="11" customHeight="1" spans="1:15">
      <c r="A11" s="3" t="s">
        <v>113</v>
      </c>
      <c r="B11" s="3" t="s">
        <v>114</v>
      </c>
      <c r="C11" s="10">
        <v>75780</v>
      </c>
      <c r="D11" s="10">
        <v>6290</v>
      </c>
      <c r="E11" s="10">
        <v>1800000</v>
      </c>
      <c r="F11" s="10">
        <v>60</v>
      </c>
      <c r="G11" s="16">
        <v>14.52</v>
      </c>
      <c r="H11" s="10">
        <v>824</v>
      </c>
      <c r="I11" s="10">
        <f t="shared" si="0"/>
        <v>42369.6888094742</v>
      </c>
      <c r="J11" s="12">
        <f t="shared" si="1"/>
        <v>0.642117825408739</v>
      </c>
      <c r="K11" s="3" t="b">
        <f t="shared" si="2"/>
        <v>0</v>
      </c>
      <c r="L11" s="3" t="b">
        <f t="shared" si="3"/>
        <v>1</v>
      </c>
      <c r="M11" s="3" t="str">
        <f t="shared" si="4"/>
        <v>Not Eligible</v>
      </c>
      <c r="N11" s="3" t="str">
        <f t="shared" si="5"/>
        <v>FOIR exceeds 50%</v>
      </c>
      <c r="O11" s="3" t="s">
        <v>85</v>
      </c>
    </row>
    <row r="12" customHeight="1" spans="1:15">
      <c r="A12" s="3" t="s">
        <v>117</v>
      </c>
      <c r="B12" s="3" t="s">
        <v>118</v>
      </c>
      <c r="C12" s="10">
        <v>48021</v>
      </c>
      <c r="D12" s="10">
        <v>0</v>
      </c>
      <c r="E12" s="10">
        <v>380000</v>
      </c>
      <c r="F12" s="10">
        <v>48</v>
      </c>
      <c r="G12" s="16">
        <v>10.75</v>
      </c>
      <c r="H12" s="10">
        <v>752</v>
      </c>
      <c r="I12" s="10">
        <f t="shared" si="0"/>
        <v>9775.22756122201</v>
      </c>
      <c r="J12" s="12">
        <f t="shared" si="1"/>
        <v>0.203561516028863</v>
      </c>
      <c r="K12" s="3" t="b">
        <f t="shared" si="2"/>
        <v>1</v>
      </c>
      <c r="L12" s="3" t="b">
        <f t="shared" si="3"/>
        <v>1</v>
      </c>
      <c r="M12" s="3" t="str">
        <f t="shared" si="4"/>
        <v>Eligible</v>
      </c>
      <c r="N12" s="3" t="str">
        <f t="shared" si="5"/>
        <v/>
      </c>
      <c r="O12" s="3" t="s">
        <v>85</v>
      </c>
    </row>
    <row r="13" customHeight="1" spans="1:15">
      <c r="A13" s="3" t="s">
        <v>120</v>
      </c>
      <c r="B13" s="3" t="s">
        <v>121</v>
      </c>
      <c r="C13" s="10">
        <v>90536</v>
      </c>
      <c r="D13" s="10">
        <v>0</v>
      </c>
      <c r="E13" s="10">
        <v>1230000</v>
      </c>
      <c r="F13" s="10">
        <v>60</v>
      </c>
      <c r="G13" s="16">
        <v>14.98</v>
      </c>
      <c r="H13" s="10">
        <v>629</v>
      </c>
      <c r="I13" s="10">
        <f t="shared" si="0"/>
        <v>29248.7027502478</v>
      </c>
      <c r="J13" s="12">
        <f t="shared" si="1"/>
        <v>0.323061574956346</v>
      </c>
      <c r="K13" s="3" t="b">
        <f t="shared" si="2"/>
        <v>1</v>
      </c>
      <c r="L13" s="3" t="b">
        <f t="shared" si="3"/>
        <v>0</v>
      </c>
      <c r="M13" s="3" t="str">
        <f t="shared" si="4"/>
        <v>Not Eligible</v>
      </c>
      <c r="N13" s="3" t="str">
        <f t="shared" si="5"/>
        <v>Credit score below 700</v>
      </c>
      <c r="O13" s="3" t="s">
        <v>85</v>
      </c>
    </row>
    <row r="14" customHeight="1" spans="1:15">
      <c r="A14" s="3" t="s">
        <v>123</v>
      </c>
      <c r="B14" s="3" t="s">
        <v>124</v>
      </c>
      <c r="C14" s="10">
        <v>51589</v>
      </c>
      <c r="D14" s="10">
        <v>0</v>
      </c>
      <c r="E14" s="10">
        <v>1960000</v>
      </c>
      <c r="F14" s="10">
        <v>240</v>
      </c>
      <c r="G14" s="16">
        <v>9.7</v>
      </c>
      <c r="H14" s="10">
        <v>751</v>
      </c>
      <c r="I14" s="10">
        <f t="shared" si="0"/>
        <v>18526.5103069691</v>
      </c>
      <c r="J14" s="12">
        <f t="shared" si="1"/>
        <v>0.359117453468163</v>
      </c>
      <c r="K14" s="3" t="b">
        <f t="shared" si="2"/>
        <v>1</v>
      </c>
      <c r="L14" s="3" t="b">
        <f t="shared" si="3"/>
        <v>1</v>
      </c>
      <c r="M14" s="3" t="str">
        <f t="shared" si="4"/>
        <v>Eligible</v>
      </c>
      <c r="N14" s="3" t="str">
        <f t="shared" si="5"/>
        <v/>
      </c>
      <c r="O14" s="3" t="s">
        <v>85</v>
      </c>
    </row>
    <row r="15" customHeight="1" spans="1:15">
      <c r="A15" s="3" t="s">
        <v>126</v>
      </c>
      <c r="B15" s="3" t="s">
        <v>127</v>
      </c>
      <c r="C15" s="10">
        <v>155225</v>
      </c>
      <c r="D15" s="10">
        <v>63923</v>
      </c>
      <c r="E15" s="10">
        <v>800000</v>
      </c>
      <c r="F15" s="10">
        <v>48</v>
      </c>
      <c r="G15" s="16">
        <v>11.59</v>
      </c>
      <c r="H15" s="10">
        <v>690</v>
      </c>
      <c r="I15" s="10">
        <f t="shared" si="0"/>
        <v>20906.3830927513</v>
      </c>
      <c r="J15" s="12">
        <f t="shared" si="1"/>
        <v>0.546493046176526</v>
      </c>
      <c r="K15" s="3" t="b">
        <f t="shared" si="2"/>
        <v>0</v>
      </c>
      <c r="L15" s="3" t="b">
        <f t="shared" si="3"/>
        <v>0</v>
      </c>
      <c r="M15" s="3" t="str">
        <f t="shared" si="4"/>
        <v>Not Eligible</v>
      </c>
      <c r="N15" s="3" t="str">
        <f t="shared" si="5"/>
        <v>FOIR exceeds 50% and credit score below 700</v>
      </c>
      <c r="O15" s="3" t="s">
        <v>91</v>
      </c>
    </row>
    <row r="16" customHeight="1" spans="1:15">
      <c r="A16" s="3" t="s">
        <v>129</v>
      </c>
      <c r="B16" s="3" t="s">
        <v>130</v>
      </c>
      <c r="C16" s="10">
        <v>18000</v>
      </c>
      <c r="D16" s="10">
        <v>3688</v>
      </c>
      <c r="E16" s="10">
        <v>240000</v>
      </c>
      <c r="F16" s="10">
        <v>36</v>
      </c>
      <c r="G16" s="16">
        <v>14.12</v>
      </c>
      <c r="H16" s="10">
        <v>679</v>
      </c>
      <c r="I16" s="10">
        <f t="shared" si="0"/>
        <v>8216.62598235046</v>
      </c>
      <c r="J16" s="12">
        <f t="shared" si="1"/>
        <v>0.661368110130581</v>
      </c>
      <c r="K16" s="3" t="b">
        <f t="shared" si="2"/>
        <v>0</v>
      </c>
      <c r="L16" s="3" t="b">
        <f t="shared" si="3"/>
        <v>0</v>
      </c>
      <c r="M16" s="3" t="str">
        <f t="shared" si="4"/>
        <v>Not Eligible</v>
      </c>
      <c r="N16" s="3" t="str">
        <f t="shared" si="5"/>
        <v>FOIR exceeds 50% and credit score below 700</v>
      </c>
      <c r="O16" s="3" t="s">
        <v>85</v>
      </c>
    </row>
    <row r="17" customHeight="1" spans="1:15">
      <c r="A17" s="3" t="s">
        <v>132</v>
      </c>
      <c r="B17" s="3" t="s">
        <v>133</v>
      </c>
      <c r="C17" s="10">
        <v>92556</v>
      </c>
      <c r="D17" s="10">
        <v>34450</v>
      </c>
      <c r="E17" s="10">
        <v>770000</v>
      </c>
      <c r="F17" s="10">
        <v>84</v>
      </c>
      <c r="G17" s="16">
        <v>11.13</v>
      </c>
      <c r="H17" s="10">
        <v>845</v>
      </c>
      <c r="I17" s="10">
        <f t="shared" si="0"/>
        <v>13236.9666624751</v>
      </c>
      <c r="J17" s="12">
        <f t="shared" si="1"/>
        <v>0.515222856027433</v>
      </c>
      <c r="K17" s="3" t="b">
        <f t="shared" si="2"/>
        <v>0</v>
      </c>
      <c r="L17" s="3" t="b">
        <f t="shared" si="3"/>
        <v>1</v>
      </c>
      <c r="M17" s="3" t="str">
        <f t="shared" si="4"/>
        <v>Not Eligible</v>
      </c>
      <c r="N17" s="3" t="str">
        <f t="shared" si="5"/>
        <v>FOIR exceeds 50%</v>
      </c>
      <c r="O17" s="3" t="s">
        <v>85</v>
      </c>
    </row>
    <row r="18" customHeight="1" spans="1:15">
      <c r="A18" s="3" t="s">
        <v>134</v>
      </c>
      <c r="B18" s="3" t="s">
        <v>135</v>
      </c>
      <c r="C18" s="10">
        <v>54869</v>
      </c>
      <c r="D18" s="10">
        <v>13436</v>
      </c>
      <c r="E18" s="10">
        <v>670000</v>
      </c>
      <c r="F18" s="10">
        <v>48</v>
      </c>
      <c r="G18" s="16">
        <v>10.81</v>
      </c>
      <c r="H18" s="10">
        <v>756</v>
      </c>
      <c r="I18" s="10">
        <f t="shared" si="0"/>
        <v>17254.7444314578</v>
      </c>
      <c r="J18" s="12">
        <f t="shared" si="1"/>
        <v>0.559345795102112</v>
      </c>
      <c r="K18" s="3" t="b">
        <f t="shared" si="2"/>
        <v>0</v>
      </c>
      <c r="L18" s="3" t="b">
        <f t="shared" si="3"/>
        <v>1</v>
      </c>
      <c r="M18" s="3" t="str">
        <f t="shared" si="4"/>
        <v>Not Eligible</v>
      </c>
      <c r="N18" s="3" t="str">
        <f t="shared" si="5"/>
        <v>FOIR exceeds 50%</v>
      </c>
      <c r="O18" s="3" t="s">
        <v>85</v>
      </c>
    </row>
    <row r="19" customHeight="1" spans="1:15">
      <c r="A19" s="3" t="s">
        <v>136</v>
      </c>
      <c r="B19" s="3" t="s">
        <v>137</v>
      </c>
      <c r="C19" s="10">
        <v>66481</v>
      </c>
      <c r="D19" s="10">
        <v>29342</v>
      </c>
      <c r="E19" s="10">
        <v>400000</v>
      </c>
      <c r="F19" s="10">
        <v>36</v>
      </c>
      <c r="G19" s="16">
        <v>13.22</v>
      </c>
      <c r="H19" s="10">
        <v>643</v>
      </c>
      <c r="I19" s="10">
        <f t="shared" si="0"/>
        <v>13520.0061425935</v>
      </c>
      <c r="J19" s="12">
        <f t="shared" si="1"/>
        <v>0.644725653082738</v>
      </c>
      <c r="K19" s="3" t="b">
        <f t="shared" si="2"/>
        <v>0</v>
      </c>
      <c r="L19" s="3" t="b">
        <f t="shared" si="3"/>
        <v>0</v>
      </c>
      <c r="M19" s="3" t="str">
        <f t="shared" si="4"/>
        <v>Not Eligible</v>
      </c>
      <c r="N19" s="3" t="str">
        <f t="shared" si="5"/>
        <v>FOIR exceeds 50% and credit score below 700</v>
      </c>
      <c r="O19" s="3" t="s">
        <v>85</v>
      </c>
    </row>
    <row r="20" customHeight="1" spans="1:15">
      <c r="A20" s="3" t="s">
        <v>139</v>
      </c>
      <c r="B20" s="3" t="s">
        <v>140</v>
      </c>
      <c r="C20" s="10">
        <v>55142</v>
      </c>
      <c r="D20" s="10">
        <v>0</v>
      </c>
      <c r="E20" s="10">
        <v>3690000</v>
      </c>
      <c r="F20" s="10">
        <v>240</v>
      </c>
      <c r="G20" s="16">
        <v>9.45</v>
      </c>
      <c r="H20" s="10">
        <v>772</v>
      </c>
      <c r="I20" s="10">
        <f t="shared" si="0"/>
        <v>34275.2492303291</v>
      </c>
      <c r="J20" s="12">
        <f t="shared" si="1"/>
        <v>0.621581539123157</v>
      </c>
      <c r="K20" s="3" t="b">
        <f t="shared" si="2"/>
        <v>0</v>
      </c>
      <c r="L20" s="3" t="b">
        <f t="shared" si="3"/>
        <v>1</v>
      </c>
      <c r="M20" s="3" t="str">
        <f t="shared" si="4"/>
        <v>Not Eligible</v>
      </c>
      <c r="N20" s="3" t="str">
        <f t="shared" si="5"/>
        <v>FOIR exceeds 50%</v>
      </c>
      <c r="O20" s="3" t="s">
        <v>85</v>
      </c>
    </row>
    <row r="21" customHeight="1" spans="1:15">
      <c r="A21" s="3" t="s">
        <v>141</v>
      </c>
      <c r="B21" s="3" t="s">
        <v>142</v>
      </c>
      <c r="C21" s="10">
        <v>79689</v>
      </c>
      <c r="D21" s="10">
        <v>0</v>
      </c>
      <c r="E21" s="10">
        <v>1850000</v>
      </c>
      <c r="F21" s="10">
        <v>60</v>
      </c>
      <c r="G21" s="16">
        <v>13.95</v>
      </c>
      <c r="H21" s="10">
        <v>777</v>
      </c>
      <c r="I21" s="10">
        <f t="shared" si="0"/>
        <v>42998.3236632764</v>
      </c>
      <c r="J21" s="12">
        <f t="shared" si="1"/>
        <v>0.539576650017899</v>
      </c>
      <c r="K21" s="3" t="b">
        <f t="shared" si="2"/>
        <v>0</v>
      </c>
      <c r="L21" s="3" t="b">
        <f t="shared" si="3"/>
        <v>1</v>
      </c>
      <c r="M21" s="3" t="str">
        <f t="shared" si="4"/>
        <v>Not Eligible</v>
      </c>
      <c r="N21" s="3" t="str">
        <f t="shared" si="5"/>
        <v>FOIR exceeds 50%</v>
      </c>
      <c r="O21" s="3" t="s">
        <v>85</v>
      </c>
    </row>
    <row r="22" customHeight="1" spans="1:15">
      <c r="A22" s="3" t="s">
        <v>143</v>
      </c>
      <c r="B22" s="3" t="s">
        <v>144</v>
      </c>
      <c r="C22" s="10">
        <v>47797</v>
      </c>
      <c r="D22" s="10">
        <v>814</v>
      </c>
      <c r="E22" s="10">
        <v>1010000</v>
      </c>
      <c r="F22" s="10">
        <v>84</v>
      </c>
      <c r="G22" s="16">
        <v>10.27</v>
      </c>
      <c r="H22" s="10">
        <v>747</v>
      </c>
      <c r="I22" s="10">
        <f t="shared" si="0"/>
        <v>16908.4351777647</v>
      </c>
      <c r="J22" s="12">
        <f t="shared" si="1"/>
        <v>0.370785513269968</v>
      </c>
      <c r="K22" s="3" t="b">
        <f t="shared" si="2"/>
        <v>1</v>
      </c>
      <c r="L22" s="3" t="b">
        <f t="shared" si="3"/>
        <v>1</v>
      </c>
      <c r="M22" s="3" t="str">
        <f t="shared" si="4"/>
        <v>Eligible</v>
      </c>
      <c r="N22" s="3" t="str">
        <f t="shared" si="5"/>
        <v/>
      </c>
      <c r="O22" s="3" t="s">
        <v>85</v>
      </c>
    </row>
    <row r="23" customHeight="1" spans="1:15">
      <c r="A23" s="3" t="s">
        <v>145</v>
      </c>
      <c r="B23" s="3" t="s">
        <v>146</v>
      </c>
      <c r="C23" s="10">
        <v>67204</v>
      </c>
      <c r="D23" s="10">
        <v>26322</v>
      </c>
      <c r="E23" s="10">
        <v>340000</v>
      </c>
      <c r="F23" s="10">
        <v>48</v>
      </c>
      <c r="G23" s="16">
        <v>11.5</v>
      </c>
      <c r="H23" s="10">
        <v>692</v>
      </c>
      <c r="I23" s="10">
        <f t="shared" si="0"/>
        <v>8870.26302799155</v>
      </c>
      <c r="J23" s="12">
        <f t="shared" si="1"/>
        <v>0.523663219867739</v>
      </c>
      <c r="K23" s="3" t="b">
        <f t="shared" si="2"/>
        <v>0</v>
      </c>
      <c r="L23" s="3" t="b">
        <f t="shared" si="3"/>
        <v>0</v>
      </c>
      <c r="M23" s="3" t="str">
        <f t="shared" si="4"/>
        <v>Not Eligible</v>
      </c>
      <c r="N23" s="3" t="str">
        <f t="shared" si="5"/>
        <v>FOIR exceeds 50% and credit score below 700</v>
      </c>
      <c r="O23" s="3" t="s">
        <v>85</v>
      </c>
    </row>
    <row r="24" customHeight="1" spans="1:15">
      <c r="A24" s="3" t="s">
        <v>147</v>
      </c>
      <c r="B24" s="3" t="s">
        <v>148</v>
      </c>
      <c r="C24" s="10">
        <v>97649</v>
      </c>
      <c r="D24" s="10">
        <v>0</v>
      </c>
      <c r="E24" s="10">
        <v>1010000</v>
      </c>
      <c r="F24" s="10">
        <v>84</v>
      </c>
      <c r="G24" s="16">
        <v>11.07</v>
      </c>
      <c r="H24" s="10">
        <v>782</v>
      </c>
      <c r="I24" s="10">
        <f t="shared" si="0"/>
        <v>17330.8566753716</v>
      </c>
      <c r="J24" s="12">
        <f t="shared" si="1"/>
        <v>0.177481148556274</v>
      </c>
      <c r="K24" s="3" t="b">
        <f t="shared" si="2"/>
        <v>1</v>
      </c>
      <c r="L24" s="3" t="b">
        <f t="shared" si="3"/>
        <v>1</v>
      </c>
      <c r="M24" s="3" t="str">
        <f t="shared" si="4"/>
        <v>Eligible</v>
      </c>
      <c r="N24" s="3" t="str">
        <f t="shared" si="5"/>
        <v/>
      </c>
      <c r="O24" s="3" t="s">
        <v>85</v>
      </c>
    </row>
    <row r="25" customHeight="1" spans="1:15">
      <c r="A25" s="3" t="s">
        <v>150</v>
      </c>
      <c r="B25" s="3" t="s">
        <v>151</v>
      </c>
      <c r="C25" s="10">
        <v>93635</v>
      </c>
      <c r="D25" s="10">
        <v>15261</v>
      </c>
      <c r="E25" s="10">
        <v>340000</v>
      </c>
      <c r="F25" s="10">
        <v>48</v>
      </c>
      <c r="G25" s="16">
        <v>10.73</v>
      </c>
      <c r="H25" s="10">
        <v>669</v>
      </c>
      <c r="I25" s="10">
        <f t="shared" si="0"/>
        <v>8742.96346019096</v>
      </c>
      <c r="J25" s="12">
        <f t="shared" si="1"/>
        <v>0.256356741177882</v>
      </c>
      <c r="K25" s="3" t="b">
        <f t="shared" si="2"/>
        <v>1</v>
      </c>
      <c r="L25" s="3" t="b">
        <f t="shared" si="3"/>
        <v>0</v>
      </c>
      <c r="M25" s="3" t="str">
        <f t="shared" si="4"/>
        <v>Not Eligible</v>
      </c>
      <c r="N25" s="3" t="str">
        <f t="shared" si="5"/>
        <v>Credit score below 700</v>
      </c>
      <c r="O25" s="3" t="s">
        <v>85</v>
      </c>
    </row>
    <row r="26" customHeight="1" spans="1:15">
      <c r="A26" s="3" t="s">
        <v>153</v>
      </c>
      <c r="B26" s="3" t="s">
        <v>154</v>
      </c>
      <c r="C26" s="10">
        <v>29971</v>
      </c>
      <c r="D26" s="10">
        <v>13433</v>
      </c>
      <c r="E26" s="10">
        <v>1390000</v>
      </c>
      <c r="F26" s="10">
        <v>84</v>
      </c>
      <c r="G26" s="16">
        <v>11.67</v>
      </c>
      <c r="H26" s="10">
        <v>668</v>
      </c>
      <c r="I26" s="10">
        <f t="shared" si="0"/>
        <v>24292.671105205</v>
      </c>
      <c r="J26" s="12">
        <f t="shared" si="1"/>
        <v>1.25873915135314</v>
      </c>
      <c r="K26" s="3" t="b">
        <f t="shared" si="2"/>
        <v>0</v>
      </c>
      <c r="L26" s="3" t="b">
        <f t="shared" si="3"/>
        <v>0</v>
      </c>
      <c r="M26" s="3" t="str">
        <f t="shared" si="4"/>
        <v>Not Eligible</v>
      </c>
      <c r="N26" s="3" t="str">
        <f t="shared" si="5"/>
        <v>FOIR exceeds 50% and credit score below 700</v>
      </c>
      <c r="O26" s="3" t="s">
        <v>85</v>
      </c>
    </row>
    <row r="27" customHeight="1" spans="1:15">
      <c r="A27" s="3" t="s">
        <v>155</v>
      </c>
      <c r="B27" s="3" t="s">
        <v>156</v>
      </c>
      <c r="C27" s="10">
        <v>74477</v>
      </c>
      <c r="D27" s="10">
        <v>0</v>
      </c>
      <c r="E27" s="10">
        <v>1270000</v>
      </c>
      <c r="F27" s="10">
        <v>84</v>
      </c>
      <c r="G27" s="16">
        <v>11.1</v>
      </c>
      <c r="H27" s="10">
        <v>715</v>
      </c>
      <c r="I27" s="10">
        <f t="shared" si="0"/>
        <v>21812.327279471</v>
      </c>
      <c r="J27" s="12">
        <f t="shared" si="1"/>
        <v>0.292873333773796</v>
      </c>
      <c r="K27" s="3" t="b">
        <f t="shared" si="2"/>
        <v>1</v>
      </c>
      <c r="L27" s="3" t="b">
        <f t="shared" si="3"/>
        <v>1</v>
      </c>
      <c r="M27" s="3" t="str">
        <f t="shared" si="4"/>
        <v>Eligible</v>
      </c>
      <c r="N27" s="3" t="str">
        <f t="shared" si="5"/>
        <v/>
      </c>
      <c r="O27" s="3" t="s">
        <v>85</v>
      </c>
    </row>
    <row r="28" customHeight="1" spans="1:15">
      <c r="A28" s="3" t="s">
        <v>158</v>
      </c>
      <c r="B28" s="3" t="s">
        <v>159</v>
      </c>
      <c r="C28" s="10">
        <v>80352</v>
      </c>
      <c r="D28" s="10">
        <v>32137</v>
      </c>
      <c r="E28" s="10">
        <v>1110000</v>
      </c>
      <c r="F28" s="10">
        <v>84</v>
      </c>
      <c r="G28" s="16">
        <v>11.32</v>
      </c>
      <c r="H28" s="10">
        <v>700</v>
      </c>
      <c r="I28" s="10">
        <f t="shared" si="0"/>
        <v>19193.1791686646</v>
      </c>
      <c r="J28" s="12">
        <f t="shared" si="1"/>
        <v>0.63881644724045</v>
      </c>
      <c r="K28" s="3" t="b">
        <f t="shared" si="2"/>
        <v>0</v>
      </c>
      <c r="L28" s="3" t="b">
        <f t="shared" si="3"/>
        <v>1</v>
      </c>
      <c r="M28" s="3" t="str">
        <f t="shared" si="4"/>
        <v>Not Eligible</v>
      </c>
      <c r="N28" s="3" t="str">
        <f t="shared" si="5"/>
        <v>FOIR exceeds 50%</v>
      </c>
      <c r="O28" s="3" t="s">
        <v>85</v>
      </c>
    </row>
    <row r="29" customHeight="1" spans="1:15">
      <c r="A29" s="3" t="s">
        <v>160</v>
      </c>
      <c r="B29" s="3" t="s">
        <v>161</v>
      </c>
      <c r="C29" s="10">
        <v>47584</v>
      </c>
      <c r="D29" s="10">
        <v>0</v>
      </c>
      <c r="E29" s="10">
        <v>310000</v>
      </c>
      <c r="F29" s="10">
        <v>48</v>
      </c>
      <c r="G29" s="16">
        <v>11.3</v>
      </c>
      <c r="H29" s="10">
        <v>556</v>
      </c>
      <c r="I29" s="10">
        <f t="shared" si="0"/>
        <v>8057.35054742348</v>
      </c>
      <c r="J29" s="12">
        <f t="shared" si="1"/>
        <v>0.169328987630789</v>
      </c>
      <c r="K29" s="3" t="b">
        <f t="shared" si="2"/>
        <v>1</v>
      </c>
      <c r="L29" s="3" t="b">
        <f t="shared" si="3"/>
        <v>0</v>
      </c>
      <c r="M29" s="3" t="str">
        <f t="shared" si="4"/>
        <v>Not Eligible</v>
      </c>
      <c r="N29" s="3" t="str">
        <f t="shared" si="5"/>
        <v>Credit score below 700</v>
      </c>
      <c r="O29" s="3" t="s">
        <v>85</v>
      </c>
    </row>
    <row r="30" customHeight="1" spans="1:15">
      <c r="A30" s="3" t="s">
        <v>163</v>
      </c>
      <c r="B30" s="3" t="s">
        <v>164</v>
      </c>
      <c r="C30" s="10">
        <v>40206</v>
      </c>
      <c r="D30" s="10">
        <v>2380</v>
      </c>
      <c r="E30" s="10">
        <v>700000</v>
      </c>
      <c r="F30" s="10">
        <v>60</v>
      </c>
      <c r="G30" s="16">
        <v>9.47</v>
      </c>
      <c r="H30" s="10">
        <v>784</v>
      </c>
      <c r="I30" s="10">
        <f t="shared" si="0"/>
        <v>14691.0425164643</v>
      </c>
      <c r="J30" s="12">
        <f t="shared" si="1"/>
        <v>0.424589427360701</v>
      </c>
      <c r="K30" s="3" t="b">
        <f t="shared" si="2"/>
        <v>1</v>
      </c>
      <c r="L30" s="3" t="b">
        <f t="shared" si="3"/>
        <v>1</v>
      </c>
      <c r="M30" s="3" t="str">
        <f t="shared" si="4"/>
        <v>Eligible</v>
      </c>
      <c r="N30" s="3" t="str">
        <f t="shared" si="5"/>
        <v/>
      </c>
      <c r="O30" s="3" t="s">
        <v>85</v>
      </c>
    </row>
    <row r="31" customHeight="1" spans="1:15">
      <c r="A31" s="3" t="s">
        <v>165</v>
      </c>
      <c r="B31" s="3" t="s">
        <v>166</v>
      </c>
      <c r="C31" s="10">
        <v>50462</v>
      </c>
      <c r="D31" s="10">
        <v>5636</v>
      </c>
      <c r="E31" s="10">
        <v>3780000</v>
      </c>
      <c r="F31" s="10">
        <v>240</v>
      </c>
      <c r="G31" s="16">
        <v>9.6</v>
      </c>
      <c r="H31" s="10">
        <v>735</v>
      </c>
      <c r="I31" s="10">
        <f t="shared" si="0"/>
        <v>35481.7644652795</v>
      </c>
      <c r="J31" s="12">
        <f t="shared" si="1"/>
        <v>0.814826294345834</v>
      </c>
      <c r="K31" s="3" t="b">
        <f t="shared" si="2"/>
        <v>0</v>
      </c>
      <c r="L31" s="3" t="b">
        <f t="shared" si="3"/>
        <v>1</v>
      </c>
      <c r="M31" s="3" t="str">
        <f t="shared" si="4"/>
        <v>Not Eligible</v>
      </c>
      <c r="N31" s="3" t="str">
        <f t="shared" si="5"/>
        <v>FOIR exceeds 50%</v>
      </c>
      <c r="O31" s="3" t="s">
        <v>85</v>
      </c>
    </row>
    <row r="32" customHeight="1" spans="1:15">
      <c r="A32" s="3" t="s">
        <v>167</v>
      </c>
      <c r="B32" s="3" t="s">
        <v>168</v>
      </c>
      <c r="C32" s="10">
        <v>39609</v>
      </c>
      <c r="D32" s="10">
        <v>0</v>
      </c>
      <c r="E32" s="10">
        <v>330000</v>
      </c>
      <c r="F32" s="10">
        <v>36</v>
      </c>
      <c r="G32" s="16">
        <v>13.11</v>
      </c>
      <c r="H32" s="10">
        <v>685</v>
      </c>
      <c r="I32" s="10">
        <f t="shared" si="0"/>
        <v>11136.4965603913</v>
      </c>
      <c r="J32" s="12">
        <f t="shared" si="1"/>
        <v>0.281160760443115</v>
      </c>
      <c r="K32" s="3" t="b">
        <f t="shared" si="2"/>
        <v>1</v>
      </c>
      <c r="L32" s="3" t="b">
        <f t="shared" si="3"/>
        <v>0</v>
      </c>
      <c r="M32" s="3" t="str">
        <f t="shared" si="4"/>
        <v>Not Eligible</v>
      </c>
      <c r="N32" s="3" t="str">
        <f t="shared" si="5"/>
        <v>Credit score below 700</v>
      </c>
      <c r="O32" s="3" t="s">
        <v>85</v>
      </c>
    </row>
    <row r="33" customHeight="1" spans="1:15">
      <c r="A33" s="3" t="s">
        <v>170</v>
      </c>
      <c r="B33" s="3" t="s">
        <v>171</v>
      </c>
      <c r="C33" s="10">
        <v>72614</v>
      </c>
      <c r="D33" s="10">
        <v>17817</v>
      </c>
      <c r="E33" s="10">
        <v>770000</v>
      </c>
      <c r="F33" s="10">
        <v>60</v>
      </c>
      <c r="G33" s="16">
        <v>10.54</v>
      </c>
      <c r="H33" s="10">
        <v>786</v>
      </c>
      <c r="I33" s="10">
        <f t="shared" si="0"/>
        <v>16565.5651066379</v>
      </c>
      <c r="J33" s="12">
        <f t="shared" si="1"/>
        <v>0.473497742950917</v>
      </c>
      <c r="K33" s="3" t="b">
        <f t="shared" si="2"/>
        <v>1</v>
      </c>
      <c r="L33" s="3" t="b">
        <f t="shared" si="3"/>
        <v>1</v>
      </c>
      <c r="M33" s="3" t="str">
        <f t="shared" si="4"/>
        <v>Eligible</v>
      </c>
      <c r="N33" s="3" t="str">
        <f t="shared" si="5"/>
        <v/>
      </c>
      <c r="O33" s="3" t="s">
        <v>85</v>
      </c>
    </row>
    <row r="34" customHeight="1" spans="1:15">
      <c r="A34" s="3" t="s">
        <v>173</v>
      </c>
      <c r="B34" s="3" t="s">
        <v>174</v>
      </c>
      <c r="C34" s="10">
        <v>170408</v>
      </c>
      <c r="D34" s="10">
        <v>0</v>
      </c>
      <c r="E34" s="10">
        <v>1270000</v>
      </c>
      <c r="F34" s="10">
        <v>84</v>
      </c>
      <c r="G34" s="16">
        <v>10.88</v>
      </c>
      <c r="H34" s="10">
        <v>656</v>
      </c>
      <c r="I34" s="10">
        <f t="shared" si="0"/>
        <v>21665.4462982391</v>
      </c>
      <c r="J34" s="12">
        <f t="shared" si="1"/>
        <v>0.127138668948871</v>
      </c>
      <c r="K34" s="3" t="b">
        <f t="shared" si="2"/>
        <v>1</v>
      </c>
      <c r="L34" s="3" t="b">
        <f t="shared" si="3"/>
        <v>0</v>
      </c>
      <c r="M34" s="3" t="str">
        <f t="shared" si="4"/>
        <v>Not Eligible</v>
      </c>
      <c r="N34" s="3" t="str">
        <f t="shared" si="5"/>
        <v>Credit score below 700</v>
      </c>
      <c r="O34" s="3" t="s">
        <v>85</v>
      </c>
    </row>
    <row r="35" customHeight="1" spans="1:15">
      <c r="A35" s="3" t="s">
        <v>175</v>
      </c>
      <c r="B35" s="3" t="s">
        <v>176</v>
      </c>
      <c r="C35" s="10">
        <v>220752</v>
      </c>
      <c r="D35" s="10">
        <v>61499</v>
      </c>
      <c r="E35" s="10">
        <v>460000</v>
      </c>
      <c r="F35" s="10">
        <v>60</v>
      </c>
      <c r="G35" s="16">
        <v>10.07</v>
      </c>
      <c r="H35" s="10">
        <v>719</v>
      </c>
      <c r="I35" s="10">
        <f t="shared" si="0"/>
        <v>9789.49181797426</v>
      </c>
      <c r="J35" s="12">
        <f t="shared" si="1"/>
        <v>0.322934749483467</v>
      </c>
      <c r="K35" s="3" t="b">
        <f t="shared" si="2"/>
        <v>1</v>
      </c>
      <c r="L35" s="3" t="b">
        <f t="shared" si="3"/>
        <v>1</v>
      </c>
      <c r="M35" s="3" t="str">
        <f t="shared" si="4"/>
        <v>Eligible</v>
      </c>
      <c r="N35" s="3" t="str">
        <f t="shared" si="5"/>
        <v/>
      </c>
      <c r="O35" s="3" t="s">
        <v>85</v>
      </c>
    </row>
    <row r="36" customHeight="1" spans="1:15">
      <c r="A36" s="3" t="s">
        <v>177</v>
      </c>
      <c r="B36" s="3" t="s">
        <v>178</v>
      </c>
      <c r="C36" s="10">
        <v>50733</v>
      </c>
      <c r="D36" s="10">
        <v>19304</v>
      </c>
      <c r="E36" s="10">
        <v>590000</v>
      </c>
      <c r="F36" s="10">
        <v>60</v>
      </c>
      <c r="G36" s="16">
        <v>14</v>
      </c>
      <c r="H36" s="10">
        <v>796</v>
      </c>
      <c r="I36" s="10">
        <f t="shared" si="0"/>
        <v>13728.2680011387</v>
      </c>
      <c r="J36" s="12">
        <f t="shared" si="1"/>
        <v>0.651100230641569</v>
      </c>
      <c r="K36" s="3" t="b">
        <f t="shared" si="2"/>
        <v>0</v>
      </c>
      <c r="L36" s="3" t="b">
        <f t="shared" si="3"/>
        <v>1</v>
      </c>
      <c r="M36" s="3" t="str">
        <f t="shared" si="4"/>
        <v>Not Eligible</v>
      </c>
      <c r="N36" s="3" t="str">
        <f t="shared" si="5"/>
        <v>FOIR exceeds 50%</v>
      </c>
      <c r="O36" s="3" t="s">
        <v>91</v>
      </c>
    </row>
    <row r="37" customHeight="1" spans="1:15">
      <c r="A37" s="3" t="s">
        <v>180</v>
      </c>
      <c r="B37" s="3" t="s">
        <v>181</v>
      </c>
      <c r="C37" s="10">
        <v>124552</v>
      </c>
      <c r="D37" s="10">
        <v>0</v>
      </c>
      <c r="E37" s="10">
        <v>680000</v>
      </c>
      <c r="F37" s="10">
        <v>48</v>
      </c>
      <c r="G37" s="16">
        <v>11.49</v>
      </c>
      <c r="H37" s="10">
        <v>696</v>
      </c>
      <c r="I37" s="10">
        <f t="shared" si="0"/>
        <v>17737.2057037112</v>
      </c>
      <c r="J37" s="12">
        <f t="shared" si="1"/>
        <v>0.142408036030824</v>
      </c>
      <c r="K37" s="3" t="b">
        <f t="shared" si="2"/>
        <v>1</v>
      </c>
      <c r="L37" s="3" t="b">
        <f t="shared" si="3"/>
        <v>0</v>
      </c>
      <c r="M37" s="3" t="str">
        <f t="shared" si="4"/>
        <v>Not Eligible</v>
      </c>
      <c r="N37" s="3" t="str">
        <f t="shared" si="5"/>
        <v>Credit score below 700</v>
      </c>
      <c r="O37" s="3" t="s">
        <v>85</v>
      </c>
    </row>
    <row r="38" customHeight="1" spans="1:15">
      <c r="A38" s="3" t="s">
        <v>183</v>
      </c>
      <c r="B38" s="3" t="s">
        <v>184</v>
      </c>
      <c r="C38" s="10">
        <v>72559</v>
      </c>
      <c r="D38" s="10">
        <v>0</v>
      </c>
      <c r="E38" s="10">
        <v>790000</v>
      </c>
      <c r="F38" s="10">
        <v>48</v>
      </c>
      <c r="G38" s="16">
        <v>11.89</v>
      </c>
      <c r="H38" s="10">
        <v>715</v>
      </c>
      <c r="I38" s="10">
        <f t="shared" si="0"/>
        <v>20761.0884288864</v>
      </c>
      <c r="J38" s="12">
        <f t="shared" si="1"/>
        <v>0.286126992225449</v>
      </c>
      <c r="K38" s="3" t="b">
        <f t="shared" si="2"/>
        <v>1</v>
      </c>
      <c r="L38" s="3" t="b">
        <f t="shared" si="3"/>
        <v>1</v>
      </c>
      <c r="M38" s="3" t="str">
        <f t="shared" si="4"/>
        <v>Eligible</v>
      </c>
      <c r="N38" s="3" t="str">
        <f t="shared" si="5"/>
        <v/>
      </c>
      <c r="O38" s="3" t="s">
        <v>85</v>
      </c>
    </row>
    <row r="39" customHeight="1" spans="1:15">
      <c r="A39" s="3" t="s">
        <v>185</v>
      </c>
      <c r="B39" s="3" t="s">
        <v>186</v>
      </c>
      <c r="C39" s="10">
        <v>30322</v>
      </c>
      <c r="D39" s="10">
        <v>0</v>
      </c>
      <c r="E39" s="10">
        <v>680000</v>
      </c>
      <c r="F39" s="10">
        <v>60</v>
      </c>
      <c r="G39" s="16">
        <v>9.94</v>
      </c>
      <c r="H39" s="10">
        <v>872</v>
      </c>
      <c r="I39" s="10">
        <f t="shared" si="0"/>
        <v>14427.9233281826</v>
      </c>
      <c r="J39" s="12">
        <f t="shared" si="1"/>
        <v>0.475823604253763</v>
      </c>
      <c r="K39" s="3" t="b">
        <f t="shared" si="2"/>
        <v>1</v>
      </c>
      <c r="L39" s="3" t="b">
        <f t="shared" si="3"/>
        <v>1</v>
      </c>
      <c r="M39" s="3" t="str">
        <f t="shared" si="4"/>
        <v>Eligible</v>
      </c>
      <c r="N39" s="3" t="str">
        <f t="shared" si="5"/>
        <v/>
      </c>
      <c r="O39" s="3" t="s">
        <v>85</v>
      </c>
    </row>
    <row r="40" customHeight="1" spans="1:15">
      <c r="A40" s="3" t="s">
        <v>187</v>
      </c>
      <c r="B40" s="3" t="s">
        <v>188</v>
      </c>
      <c r="C40" s="10">
        <v>93164</v>
      </c>
      <c r="D40" s="10">
        <v>0</v>
      </c>
      <c r="E40" s="10">
        <v>1470000</v>
      </c>
      <c r="F40" s="10">
        <v>60</v>
      </c>
      <c r="G40" s="16">
        <v>13.81</v>
      </c>
      <c r="H40" s="10">
        <v>643</v>
      </c>
      <c r="I40" s="10">
        <f t="shared" si="0"/>
        <v>34059.7018253419</v>
      </c>
      <c r="J40" s="12">
        <f t="shared" si="1"/>
        <v>0.365588658981387</v>
      </c>
      <c r="K40" s="3" t="b">
        <f t="shared" si="2"/>
        <v>1</v>
      </c>
      <c r="L40" s="3" t="b">
        <f t="shared" si="3"/>
        <v>0</v>
      </c>
      <c r="M40" s="3" t="str">
        <f t="shared" si="4"/>
        <v>Not Eligible</v>
      </c>
      <c r="N40" s="3" t="str">
        <f t="shared" si="5"/>
        <v>Credit score below 700</v>
      </c>
      <c r="O40" s="3" t="s">
        <v>85</v>
      </c>
    </row>
    <row r="41" customHeight="1" spans="1:15">
      <c r="A41" s="3" t="s">
        <v>189</v>
      </c>
      <c r="B41" s="3" t="s">
        <v>190</v>
      </c>
      <c r="C41" s="10">
        <v>45361</v>
      </c>
      <c r="D41" s="10">
        <v>0</v>
      </c>
      <c r="E41" s="10">
        <v>420000</v>
      </c>
      <c r="F41" s="10">
        <v>48</v>
      </c>
      <c r="G41" s="16">
        <v>11.93</v>
      </c>
      <c r="H41" s="10">
        <v>741</v>
      </c>
      <c r="I41" s="10">
        <f t="shared" si="0"/>
        <v>11045.7812465366</v>
      </c>
      <c r="J41" s="12">
        <f t="shared" si="1"/>
        <v>0.243508327561928</v>
      </c>
      <c r="K41" s="3" t="b">
        <f t="shared" si="2"/>
        <v>1</v>
      </c>
      <c r="L41" s="3" t="b">
        <f t="shared" si="3"/>
        <v>1</v>
      </c>
      <c r="M41" s="3" t="str">
        <f t="shared" si="4"/>
        <v>Eligible</v>
      </c>
      <c r="N41" s="3" t="str">
        <f t="shared" si="5"/>
        <v/>
      </c>
      <c r="O41" s="3" t="s">
        <v>85</v>
      </c>
    </row>
    <row r="42" customHeight="1" spans="1:15">
      <c r="A42" s="3" t="s">
        <v>191</v>
      </c>
      <c r="B42" s="3" t="s">
        <v>192</v>
      </c>
      <c r="C42" s="10">
        <v>34350</v>
      </c>
      <c r="D42" s="10">
        <v>0</v>
      </c>
      <c r="E42" s="10">
        <v>170000</v>
      </c>
      <c r="F42" s="10">
        <v>48</v>
      </c>
      <c r="G42" s="16">
        <v>10.73</v>
      </c>
      <c r="H42" s="10">
        <v>633</v>
      </c>
      <c r="I42" s="10">
        <f t="shared" si="0"/>
        <v>4371.48173009548</v>
      </c>
      <c r="J42" s="12">
        <f t="shared" si="1"/>
        <v>0.127262932462751</v>
      </c>
      <c r="K42" s="3" t="b">
        <f t="shared" si="2"/>
        <v>1</v>
      </c>
      <c r="L42" s="3" t="b">
        <f t="shared" si="3"/>
        <v>0</v>
      </c>
      <c r="M42" s="3" t="str">
        <f t="shared" si="4"/>
        <v>Not Eligible</v>
      </c>
      <c r="N42" s="3" t="str">
        <f t="shared" si="5"/>
        <v>Credit score below 700</v>
      </c>
      <c r="O42" s="3" t="s">
        <v>85</v>
      </c>
    </row>
    <row r="43" customHeight="1" spans="1:15">
      <c r="A43" s="3" t="s">
        <v>193</v>
      </c>
      <c r="B43" s="3" t="s">
        <v>194</v>
      </c>
      <c r="C43" s="10">
        <v>60875</v>
      </c>
      <c r="D43" s="10">
        <v>0</v>
      </c>
      <c r="E43" s="10">
        <v>1700000</v>
      </c>
      <c r="F43" s="10">
        <v>60</v>
      </c>
      <c r="G43" s="16">
        <v>13.9</v>
      </c>
      <c r="H43" s="10">
        <v>719</v>
      </c>
      <c r="I43" s="10">
        <f t="shared" si="0"/>
        <v>39467.9473911312</v>
      </c>
      <c r="J43" s="12">
        <f t="shared" si="1"/>
        <v>0.648344104987782</v>
      </c>
      <c r="K43" s="3" t="b">
        <f t="shared" si="2"/>
        <v>0</v>
      </c>
      <c r="L43" s="3" t="b">
        <f t="shared" si="3"/>
        <v>1</v>
      </c>
      <c r="M43" s="3" t="str">
        <f t="shared" si="4"/>
        <v>Not Eligible</v>
      </c>
      <c r="N43" s="3" t="str">
        <f t="shared" si="5"/>
        <v>FOIR exceeds 50%</v>
      </c>
      <c r="O43" s="3" t="s">
        <v>85</v>
      </c>
    </row>
    <row r="44" customHeight="1" spans="1:15">
      <c r="A44" s="3" t="s">
        <v>195</v>
      </c>
      <c r="B44" s="3" t="s">
        <v>87</v>
      </c>
      <c r="C44" s="10">
        <v>35734</v>
      </c>
      <c r="D44" s="10">
        <v>2515</v>
      </c>
      <c r="E44" s="10">
        <v>5490000</v>
      </c>
      <c r="F44" s="10">
        <v>240</v>
      </c>
      <c r="G44" s="16">
        <v>8.62</v>
      </c>
      <c r="H44" s="10">
        <v>755</v>
      </c>
      <c r="I44" s="10">
        <f t="shared" si="0"/>
        <v>48061.2794450107</v>
      </c>
      <c r="J44" s="12">
        <f t="shared" si="1"/>
        <v>1.41535454874939</v>
      </c>
      <c r="K44" s="3" t="b">
        <f t="shared" si="2"/>
        <v>0</v>
      </c>
      <c r="L44" s="3" t="b">
        <f t="shared" si="3"/>
        <v>1</v>
      </c>
      <c r="M44" s="3" t="str">
        <f t="shared" si="4"/>
        <v>Not Eligible</v>
      </c>
      <c r="N44" s="3" t="str">
        <f t="shared" si="5"/>
        <v>FOIR exceeds 50%</v>
      </c>
      <c r="O44" s="3" t="s">
        <v>91</v>
      </c>
    </row>
    <row r="45" customHeight="1" spans="1:15">
      <c r="A45" s="3" t="s">
        <v>196</v>
      </c>
      <c r="B45" s="3" t="s">
        <v>197</v>
      </c>
      <c r="C45" s="10">
        <v>74304</v>
      </c>
      <c r="D45" s="10">
        <v>0</v>
      </c>
      <c r="E45" s="10">
        <v>1150000</v>
      </c>
      <c r="F45" s="10">
        <v>60</v>
      </c>
      <c r="G45" s="16">
        <v>14.97</v>
      </c>
      <c r="H45" s="10">
        <v>798</v>
      </c>
      <c r="I45" s="10">
        <f t="shared" si="0"/>
        <v>27340.3134625202</v>
      </c>
      <c r="J45" s="12">
        <f t="shared" si="1"/>
        <v>0.36795210839955</v>
      </c>
      <c r="K45" s="3" t="b">
        <f t="shared" si="2"/>
        <v>1</v>
      </c>
      <c r="L45" s="3" t="b">
        <f t="shared" si="3"/>
        <v>1</v>
      </c>
      <c r="M45" s="3" t="str">
        <f t="shared" si="4"/>
        <v>Eligible</v>
      </c>
      <c r="N45" s="3" t="str">
        <f t="shared" si="5"/>
        <v/>
      </c>
      <c r="O45" s="3" t="s">
        <v>85</v>
      </c>
    </row>
    <row r="46" customHeight="1" spans="1:15">
      <c r="A46" s="3" t="s">
        <v>198</v>
      </c>
      <c r="B46" s="3" t="s">
        <v>199</v>
      </c>
      <c r="C46" s="10">
        <v>92935</v>
      </c>
      <c r="D46" s="10">
        <v>25443</v>
      </c>
      <c r="E46" s="10">
        <v>1120000</v>
      </c>
      <c r="F46" s="10">
        <v>60</v>
      </c>
      <c r="G46" s="16">
        <v>14.03</v>
      </c>
      <c r="H46" s="10">
        <v>745</v>
      </c>
      <c r="I46" s="10">
        <f t="shared" si="0"/>
        <v>26077.8637193184</v>
      </c>
      <c r="J46" s="12">
        <f t="shared" si="1"/>
        <v>0.554375248499687</v>
      </c>
      <c r="K46" s="3" t="b">
        <f t="shared" si="2"/>
        <v>0</v>
      </c>
      <c r="L46" s="3" t="b">
        <f t="shared" si="3"/>
        <v>1</v>
      </c>
      <c r="M46" s="3" t="str">
        <f t="shared" si="4"/>
        <v>Not Eligible</v>
      </c>
      <c r="N46" s="3" t="str">
        <f t="shared" si="5"/>
        <v>FOIR exceeds 50%</v>
      </c>
      <c r="O46" s="3" t="s">
        <v>85</v>
      </c>
    </row>
    <row r="47" customHeight="1" spans="1:15">
      <c r="A47" s="3" t="s">
        <v>200</v>
      </c>
      <c r="B47" s="3" t="s">
        <v>201</v>
      </c>
      <c r="C47" s="10">
        <v>32892</v>
      </c>
      <c r="D47" s="10">
        <v>0</v>
      </c>
      <c r="E47" s="10">
        <v>990000</v>
      </c>
      <c r="F47" s="10">
        <v>84</v>
      </c>
      <c r="G47" s="16">
        <v>10.6</v>
      </c>
      <c r="H47" s="10">
        <v>788</v>
      </c>
      <c r="I47" s="10">
        <f t="shared" si="0"/>
        <v>16743.7158415889</v>
      </c>
      <c r="J47" s="12">
        <f t="shared" si="1"/>
        <v>0.509051314653682</v>
      </c>
      <c r="K47" s="3" t="b">
        <f t="shared" si="2"/>
        <v>0</v>
      </c>
      <c r="L47" s="3" t="b">
        <f t="shared" si="3"/>
        <v>1</v>
      </c>
      <c r="M47" s="3" t="str">
        <f t="shared" si="4"/>
        <v>Not Eligible</v>
      </c>
      <c r="N47" s="3" t="str">
        <f t="shared" si="5"/>
        <v>FOIR exceeds 50%</v>
      </c>
      <c r="O47" s="3" t="s">
        <v>85</v>
      </c>
    </row>
    <row r="48" customHeight="1" spans="1:15">
      <c r="A48" s="3" t="s">
        <v>202</v>
      </c>
      <c r="B48" s="3" t="s">
        <v>203</v>
      </c>
      <c r="C48" s="10">
        <v>18000</v>
      </c>
      <c r="D48" s="10">
        <v>0</v>
      </c>
      <c r="E48" s="10">
        <v>350000</v>
      </c>
      <c r="F48" s="10">
        <v>36</v>
      </c>
      <c r="G48" s="16">
        <v>13.69</v>
      </c>
      <c r="H48" s="10">
        <v>767</v>
      </c>
      <c r="I48" s="10">
        <f t="shared" si="0"/>
        <v>11909.5406205566</v>
      </c>
      <c r="J48" s="12">
        <f t="shared" si="1"/>
        <v>0.661641145586478</v>
      </c>
      <c r="K48" s="3" t="b">
        <f t="shared" si="2"/>
        <v>0</v>
      </c>
      <c r="L48" s="3" t="b">
        <f t="shared" si="3"/>
        <v>1</v>
      </c>
      <c r="M48" s="3" t="str">
        <f t="shared" si="4"/>
        <v>Not Eligible</v>
      </c>
      <c r="N48" s="3" t="str">
        <f t="shared" si="5"/>
        <v>FOIR exceeds 50%</v>
      </c>
      <c r="O48" s="3" t="s">
        <v>85</v>
      </c>
    </row>
    <row r="49" customHeight="1" spans="1:15">
      <c r="A49" s="3" t="s">
        <v>204</v>
      </c>
      <c r="B49" s="3" t="s">
        <v>205</v>
      </c>
      <c r="C49" s="10">
        <v>33137</v>
      </c>
      <c r="D49" s="10">
        <v>9436</v>
      </c>
      <c r="E49" s="10">
        <v>280000</v>
      </c>
      <c r="F49" s="10">
        <v>36</v>
      </c>
      <c r="G49" s="16">
        <v>13.27</v>
      </c>
      <c r="H49" s="10">
        <v>667</v>
      </c>
      <c r="I49" s="10">
        <f t="shared" si="0"/>
        <v>9470.76140882686</v>
      </c>
      <c r="J49" s="12">
        <f t="shared" si="1"/>
        <v>0.570563461050393</v>
      </c>
      <c r="K49" s="3" t="b">
        <f t="shared" si="2"/>
        <v>0</v>
      </c>
      <c r="L49" s="3" t="b">
        <f t="shared" si="3"/>
        <v>0</v>
      </c>
      <c r="M49" s="3" t="str">
        <f t="shared" si="4"/>
        <v>Not Eligible</v>
      </c>
      <c r="N49" s="3" t="str">
        <f t="shared" si="5"/>
        <v>FOIR exceeds 50% and credit score below 700</v>
      </c>
      <c r="O49" s="3" t="s">
        <v>85</v>
      </c>
    </row>
    <row r="50" customHeight="1" spans="1:15">
      <c r="A50" s="3" t="s">
        <v>206</v>
      </c>
      <c r="B50" s="3" t="s">
        <v>207</v>
      </c>
      <c r="C50" s="10">
        <v>19532</v>
      </c>
      <c r="D50" s="10">
        <v>7022</v>
      </c>
      <c r="E50" s="10">
        <v>240000</v>
      </c>
      <c r="F50" s="10">
        <v>48</v>
      </c>
      <c r="G50" s="16">
        <v>11.05</v>
      </c>
      <c r="H50" s="10">
        <v>653</v>
      </c>
      <c r="I50" s="10">
        <f t="shared" si="0"/>
        <v>6208.75460122343</v>
      </c>
      <c r="J50" s="12">
        <f t="shared" si="1"/>
        <v>0.677388623859483</v>
      </c>
      <c r="K50" s="3" t="b">
        <f t="shared" si="2"/>
        <v>0</v>
      </c>
      <c r="L50" s="3" t="b">
        <f t="shared" si="3"/>
        <v>0</v>
      </c>
      <c r="M50" s="3" t="str">
        <f t="shared" si="4"/>
        <v>Not Eligible</v>
      </c>
      <c r="N50" s="3" t="str">
        <f t="shared" si="5"/>
        <v>FOIR exceeds 50% and credit score below 700</v>
      </c>
      <c r="O50" s="3" t="s">
        <v>85</v>
      </c>
    </row>
    <row r="51" customHeight="1" spans="1:15">
      <c r="A51" s="3" t="s">
        <v>208</v>
      </c>
      <c r="B51" s="3" t="s">
        <v>209</v>
      </c>
      <c r="C51" s="10">
        <v>135974</v>
      </c>
      <c r="D51" s="10">
        <v>0</v>
      </c>
      <c r="E51" s="10">
        <v>550000</v>
      </c>
      <c r="F51" s="10">
        <v>48</v>
      </c>
      <c r="G51" s="16">
        <v>12.19</v>
      </c>
      <c r="H51" s="10">
        <v>784</v>
      </c>
      <c r="I51" s="10">
        <f t="shared" si="0"/>
        <v>14534.9711306847</v>
      </c>
      <c r="J51" s="12">
        <f t="shared" si="1"/>
        <v>0.106895223577189</v>
      </c>
      <c r="K51" s="3" t="b">
        <f t="shared" si="2"/>
        <v>1</v>
      </c>
      <c r="L51" s="3" t="b">
        <f t="shared" si="3"/>
        <v>1</v>
      </c>
      <c r="M51" s="3" t="str">
        <f t="shared" si="4"/>
        <v>Eligible</v>
      </c>
      <c r="N51" s="3" t="str">
        <f t="shared" si="5"/>
        <v/>
      </c>
      <c r="O51" s="3" t="s">
        <v>85</v>
      </c>
    </row>
    <row r="52" customHeight="1" spans="1:15">
      <c r="A52" s="3" t="s">
        <v>210</v>
      </c>
      <c r="B52" s="3" t="s">
        <v>211</v>
      </c>
      <c r="C52" s="10">
        <v>40615</v>
      </c>
      <c r="D52" s="10">
        <v>0</v>
      </c>
      <c r="E52" s="10">
        <v>360000</v>
      </c>
      <c r="F52" s="10">
        <v>84</v>
      </c>
      <c r="G52" s="16">
        <v>11.09</v>
      </c>
      <c r="H52" s="10">
        <v>790</v>
      </c>
      <c r="I52" s="10">
        <f t="shared" si="0"/>
        <v>6181.12596292619</v>
      </c>
      <c r="J52" s="12">
        <f t="shared" si="1"/>
        <v>0.152188254657791</v>
      </c>
      <c r="K52" s="3" t="b">
        <f t="shared" si="2"/>
        <v>1</v>
      </c>
      <c r="L52" s="3" t="b">
        <f t="shared" si="3"/>
        <v>1</v>
      </c>
      <c r="M52" s="3" t="str">
        <f t="shared" si="4"/>
        <v>Eligible</v>
      </c>
      <c r="N52" s="3" t="str">
        <f t="shared" si="5"/>
        <v/>
      </c>
      <c r="O52" s="3" t="s">
        <v>85</v>
      </c>
    </row>
    <row r="53" customHeight="1" spans="1:15">
      <c r="A53" s="3" t="s">
        <v>212</v>
      </c>
      <c r="B53" s="3" t="s">
        <v>213</v>
      </c>
      <c r="C53" s="10">
        <v>82882</v>
      </c>
      <c r="D53" s="10">
        <v>29272</v>
      </c>
      <c r="E53" s="10">
        <v>640000</v>
      </c>
      <c r="F53" s="10">
        <v>60</v>
      </c>
      <c r="G53" s="16">
        <v>9.63</v>
      </c>
      <c r="H53" s="10">
        <v>827</v>
      </c>
      <c r="I53" s="10">
        <f t="shared" si="0"/>
        <v>13481.8866156783</v>
      </c>
      <c r="J53" s="12">
        <f t="shared" si="1"/>
        <v>0.515840431163321</v>
      </c>
      <c r="K53" s="3" t="b">
        <f t="shared" si="2"/>
        <v>0</v>
      </c>
      <c r="L53" s="3" t="b">
        <f t="shared" si="3"/>
        <v>1</v>
      </c>
      <c r="M53" s="3" t="str">
        <f t="shared" si="4"/>
        <v>Not Eligible</v>
      </c>
      <c r="N53" s="3" t="str">
        <f t="shared" si="5"/>
        <v>FOIR exceeds 50%</v>
      </c>
      <c r="O53" s="3" t="s">
        <v>85</v>
      </c>
    </row>
    <row r="54" customHeight="1" spans="1:15">
      <c r="A54" s="3" t="s">
        <v>215</v>
      </c>
      <c r="B54" s="3" t="s">
        <v>216</v>
      </c>
      <c r="C54" s="10">
        <v>71847</v>
      </c>
      <c r="D54" s="10">
        <v>0</v>
      </c>
      <c r="E54" s="10">
        <v>560000</v>
      </c>
      <c r="F54" s="10">
        <v>48</v>
      </c>
      <c r="G54" s="16">
        <v>12.04</v>
      </c>
      <c r="H54" s="10">
        <v>702</v>
      </c>
      <c r="I54" s="10">
        <f t="shared" si="0"/>
        <v>14757.9484381791</v>
      </c>
      <c r="J54" s="12">
        <f t="shared" si="1"/>
        <v>0.205407998081744</v>
      </c>
      <c r="K54" s="3" t="b">
        <f t="shared" si="2"/>
        <v>1</v>
      </c>
      <c r="L54" s="3" t="b">
        <f t="shared" si="3"/>
        <v>1</v>
      </c>
      <c r="M54" s="3" t="str">
        <f t="shared" si="4"/>
        <v>Eligible</v>
      </c>
      <c r="N54" s="3" t="str">
        <f t="shared" si="5"/>
        <v/>
      </c>
      <c r="O54" s="3" t="s">
        <v>85</v>
      </c>
    </row>
    <row r="55" customHeight="1" spans="1:15">
      <c r="A55" s="3" t="s">
        <v>217</v>
      </c>
      <c r="B55" s="3" t="s">
        <v>218</v>
      </c>
      <c r="C55" s="10">
        <v>72151</v>
      </c>
      <c r="D55" s="10">
        <v>0</v>
      </c>
      <c r="E55" s="10">
        <v>460000</v>
      </c>
      <c r="F55" s="10">
        <v>48</v>
      </c>
      <c r="G55" s="16">
        <v>11.26</v>
      </c>
      <c r="H55" s="10">
        <v>674</v>
      </c>
      <c r="I55" s="10">
        <f t="shared" si="0"/>
        <v>11947.1052911277</v>
      </c>
      <c r="J55" s="12">
        <f t="shared" si="1"/>
        <v>0.165584749915146</v>
      </c>
      <c r="K55" s="3" t="b">
        <f t="shared" si="2"/>
        <v>1</v>
      </c>
      <c r="L55" s="3" t="b">
        <f t="shared" si="3"/>
        <v>0</v>
      </c>
      <c r="M55" s="3" t="str">
        <f t="shared" si="4"/>
        <v>Not Eligible</v>
      </c>
      <c r="N55" s="3" t="str">
        <f t="shared" si="5"/>
        <v>Credit score below 700</v>
      </c>
      <c r="O55" s="3" t="s">
        <v>85</v>
      </c>
    </row>
    <row r="56" customHeight="1" spans="1:15">
      <c r="A56" s="3" t="s">
        <v>219</v>
      </c>
      <c r="B56" s="3" t="s">
        <v>220</v>
      </c>
      <c r="C56" s="10">
        <v>82870</v>
      </c>
      <c r="D56" s="10">
        <v>13371</v>
      </c>
      <c r="E56" s="10">
        <v>1070000</v>
      </c>
      <c r="F56" s="10">
        <v>60</v>
      </c>
      <c r="G56" s="16">
        <v>10.14</v>
      </c>
      <c r="H56" s="10">
        <v>623</v>
      </c>
      <c r="I56" s="10">
        <f t="shared" si="0"/>
        <v>22808.1156723926</v>
      </c>
      <c r="J56" s="12">
        <f t="shared" si="1"/>
        <v>0.436576754825541</v>
      </c>
      <c r="K56" s="3" t="b">
        <f t="shared" si="2"/>
        <v>1</v>
      </c>
      <c r="L56" s="3" t="b">
        <f t="shared" si="3"/>
        <v>0</v>
      </c>
      <c r="M56" s="3" t="str">
        <f t="shared" si="4"/>
        <v>Not Eligible</v>
      </c>
      <c r="N56" s="3" t="str">
        <f t="shared" si="5"/>
        <v>Credit score below 700</v>
      </c>
      <c r="O56" s="3" t="s">
        <v>85</v>
      </c>
    </row>
    <row r="57" customHeight="1" spans="1:15">
      <c r="A57" s="3" t="s">
        <v>221</v>
      </c>
      <c r="B57" s="3" t="s">
        <v>222</v>
      </c>
      <c r="C57" s="10">
        <v>48299</v>
      </c>
      <c r="D57" s="10">
        <v>7913</v>
      </c>
      <c r="E57" s="10">
        <v>450000</v>
      </c>
      <c r="F57" s="10">
        <v>60</v>
      </c>
      <c r="G57" s="16">
        <v>14.07</v>
      </c>
      <c r="H57" s="10">
        <v>790</v>
      </c>
      <c r="I57" s="10">
        <f t="shared" si="0"/>
        <v>10487.0508221678</v>
      </c>
      <c r="J57" s="12">
        <f t="shared" si="1"/>
        <v>0.380961320569118</v>
      </c>
      <c r="K57" s="3" t="b">
        <f t="shared" si="2"/>
        <v>1</v>
      </c>
      <c r="L57" s="3" t="b">
        <f t="shared" si="3"/>
        <v>1</v>
      </c>
      <c r="M57" s="3" t="str">
        <f t="shared" si="4"/>
        <v>Eligible</v>
      </c>
      <c r="N57" s="3" t="str">
        <f t="shared" si="5"/>
        <v/>
      </c>
      <c r="O57" s="3" t="s">
        <v>85</v>
      </c>
    </row>
    <row r="58" customHeight="1" spans="1:15">
      <c r="A58" s="3" t="s">
        <v>223</v>
      </c>
      <c r="B58" s="3" t="s">
        <v>224</v>
      </c>
      <c r="C58" s="10">
        <v>69575</v>
      </c>
      <c r="D58" s="10">
        <v>22878</v>
      </c>
      <c r="E58" s="10">
        <v>580000</v>
      </c>
      <c r="F58" s="10">
        <v>60</v>
      </c>
      <c r="G58" s="16">
        <v>9.95</v>
      </c>
      <c r="H58" s="10">
        <v>665</v>
      </c>
      <c r="I58" s="10">
        <f t="shared" si="0"/>
        <v>12309.021599921</v>
      </c>
      <c r="J58" s="12">
        <f t="shared" si="1"/>
        <v>0.505742315485749</v>
      </c>
      <c r="K58" s="3" t="b">
        <f t="shared" si="2"/>
        <v>0</v>
      </c>
      <c r="L58" s="3" t="b">
        <f t="shared" si="3"/>
        <v>0</v>
      </c>
      <c r="M58" s="3" t="str">
        <f t="shared" si="4"/>
        <v>Not Eligible</v>
      </c>
      <c r="N58" s="3" t="str">
        <f t="shared" si="5"/>
        <v>FOIR exceeds 50% and credit score below 700</v>
      </c>
      <c r="O58" s="3" t="s">
        <v>85</v>
      </c>
    </row>
    <row r="59" customHeight="1" spans="1:15">
      <c r="A59" s="3" t="s">
        <v>225</v>
      </c>
      <c r="B59" s="3" t="s">
        <v>226</v>
      </c>
      <c r="C59" s="10">
        <v>85465</v>
      </c>
      <c r="D59" s="10">
        <v>0</v>
      </c>
      <c r="E59" s="10">
        <v>750000</v>
      </c>
      <c r="F59" s="10">
        <v>48</v>
      </c>
      <c r="G59" s="16">
        <v>12</v>
      </c>
      <c r="H59" s="10">
        <v>725</v>
      </c>
      <c r="I59" s="10">
        <f t="shared" si="0"/>
        <v>19750.3765739458</v>
      </c>
      <c r="J59" s="12">
        <f t="shared" si="1"/>
        <v>0.231093155957946</v>
      </c>
      <c r="K59" s="3" t="b">
        <f t="shared" si="2"/>
        <v>1</v>
      </c>
      <c r="L59" s="3" t="b">
        <f t="shared" si="3"/>
        <v>1</v>
      </c>
      <c r="M59" s="3" t="str">
        <f t="shared" si="4"/>
        <v>Eligible</v>
      </c>
      <c r="N59" s="3" t="str">
        <f t="shared" si="5"/>
        <v/>
      </c>
      <c r="O59" s="3" t="s">
        <v>85</v>
      </c>
    </row>
    <row r="60" customHeight="1" spans="1:15">
      <c r="A60" s="3" t="s">
        <v>227</v>
      </c>
      <c r="B60" s="3" t="s">
        <v>228</v>
      </c>
      <c r="C60" s="10">
        <v>40538</v>
      </c>
      <c r="D60" s="10">
        <v>950</v>
      </c>
      <c r="E60" s="10">
        <v>1290000</v>
      </c>
      <c r="F60" s="10">
        <v>240</v>
      </c>
      <c r="G60" s="16">
        <v>9.16</v>
      </c>
      <c r="H60" s="10">
        <v>700</v>
      </c>
      <c r="I60" s="10">
        <f t="shared" si="0"/>
        <v>11739.5389684211</v>
      </c>
      <c r="J60" s="12">
        <f t="shared" si="1"/>
        <v>0.313028244324364</v>
      </c>
      <c r="K60" s="3" t="b">
        <f t="shared" si="2"/>
        <v>1</v>
      </c>
      <c r="L60" s="3" t="b">
        <f t="shared" si="3"/>
        <v>1</v>
      </c>
      <c r="M60" s="3" t="str">
        <f t="shared" si="4"/>
        <v>Eligible</v>
      </c>
      <c r="N60" s="3" t="str">
        <f t="shared" si="5"/>
        <v/>
      </c>
      <c r="O60" s="3" t="s">
        <v>85</v>
      </c>
    </row>
    <row r="61" customHeight="1" spans="1:15">
      <c r="A61" s="3" t="s">
        <v>229</v>
      </c>
      <c r="B61" s="3" t="s">
        <v>230</v>
      </c>
      <c r="C61" s="10">
        <v>71488</v>
      </c>
      <c r="D61" s="10">
        <v>6010</v>
      </c>
      <c r="E61" s="10">
        <v>880000</v>
      </c>
      <c r="F61" s="10">
        <v>84</v>
      </c>
      <c r="G61" s="16">
        <v>10.55</v>
      </c>
      <c r="H61" s="10">
        <v>762</v>
      </c>
      <c r="I61" s="10">
        <f t="shared" si="0"/>
        <v>14860.3376697591</v>
      </c>
      <c r="J61" s="12">
        <f t="shared" si="1"/>
        <v>0.291941831772593</v>
      </c>
      <c r="K61" s="3" t="b">
        <f t="shared" si="2"/>
        <v>1</v>
      </c>
      <c r="L61" s="3" t="b">
        <f t="shared" si="3"/>
        <v>1</v>
      </c>
      <c r="M61" s="3" t="str">
        <f t="shared" si="4"/>
        <v>Eligible</v>
      </c>
      <c r="N61" s="3" t="str">
        <f t="shared" si="5"/>
        <v/>
      </c>
      <c r="O61" s="3" t="s">
        <v>85</v>
      </c>
    </row>
    <row r="62" customHeight="1" spans="1:15">
      <c r="A62" s="3" t="s">
        <v>231</v>
      </c>
      <c r="B62" s="3" t="s">
        <v>232</v>
      </c>
      <c r="C62" s="10">
        <v>62946</v>
      </c>
      <c r="D62" s="10">
        <v>27615</v>
      </c>
      <c r="E62" s="10">
        <v>390000</v>
      </c>
      <c r="F62" s="10">
        <v>36</v>
      </c>
      <c r="G62" s="16">
        <v>14.1</v>
      </c>
      <c r="H62" s="10">
        <v>724</v>
      </c>
      <c r="I62" s="10">
        <f t="shared" si="0"/>
        <v>13348.2253842574</v>
      </c>
      <c r="J62" s="12">
        <f t="shared" si="1"/>
        <v>0.650767727643654</v>
      </c>
      <c r="K62" s="3" t="b">
        <f t="shared" si="2"/>
        <v>0</v>
      </c>
      <c r="L62" s="3" t="b">
        <f t="shared" si="3"/>
        <v>1</v>
      </c>
      <c r="M62" s="3" t="str">
        <f t="shared" si="4"/>
        <v>Not Eligible</v>
      </c>
      <c r="N62" s="3" t="str">
        <f t="shared" si="5"/>
        <v>FOIR exceeds 50%</v>
      </c>
      <c r="O62" s="3" t="s">
        <v>85</v>
      </c>
    </row>
    <row r="63" customHeight="1" spans="1:15">
      <c r="A63" s="3" t="s">
        <v>233</v>
      </c>
      <c r="B63" s="3" t="s">
        <v>234</v>
      </c>
      <c r="C63" s="10">
        <v>61903</v>
      </c>
      <c r="D63" s="10">
        <v>20261</v>
      </c>
      <c r="E63" s="10">
        <v>830000</v>
      </c>
      <c r="F63" s="10">
        <v>60</v>
      </c>
      <c r="G63" s="16">
        <v>14.54</v>
      </c>
      <c r="H63" s="10">
        <v>714</v>
      </c>
      <c r="I63" s="10">
        <f t="shared" si="0"/>
        <v>19545.7974210183</v>
      </c>
      <c r="J63" s="12">
        <f t="shared" si="1"/>
        <v>0.643051183642446</v>
      </c>
      <c r="K63" s="3" t="b">
        <f t="shared" si="2"/>
        <v>0</v>
      </c>
      <c r="L63" s="3" t="b">
        <f t="shared" si="3"/>
        <v>1</v>
      </c>
      <c r="M63" s="3" t="str">
        <f t="shared" si="4"/>
        <v>Not Eligible</v>
      </c>
      <c r="N63" s="3" t="str">
        <f t="shared" si="5"/>
        <v>FOIR exceeds 50%</v>
      </c>
      <c r="O63" s="3" t="s">
        <v>85</v>
      </c>
    </row>
    <row r="64" customHeight="1" spans="1:15">
      <c r="A64" s="3" t="s">
        <v>235</v>
      </c>
      <c r="B64" s="3" t="s">
        <v>236</v>
      </c>
      <c r="C64" s="10">
        <v>45041</v>
      </c>
      <c r="D64" s="10">
        <v>18306</v>
      </c>
      <c r="E64" s="10">
        <v>970000</v>
      </c>
      <c r="F64" s="10">
        <v>84</v>
      </c>
      <c r="G64" s="16">
        <v>11.03</v>
      </c>
      <c r="H64" s="10">
        <v>672</v>
      </c>
      <c r="I64" s="10">
        <f t="shared" si="0"/>
        <v>16624.0678394718</v>
      </c>
      <c r="J64" s="12">
        <f t="shared" si="1"/>
        <v>0.775517147476118</v>
      </c>
      <c r="K64" s="3" t="b">
        <f t="shared" si="2"/>
        <v>0</v>
      </c>
      <c r="L64" s="3" t="b">
        <f t="shared" si="3"/>
        <v>0</v>
      </c>
      <c r="M64" s="3" t="str">
        <f t="shared" si="4"/>
        <v>Not Eligible</v>
      </c>
      <c r="N64" s="3" t="str">
        <f t="shared" si="5"/>
        <v>FOIR exceeds 50% and credit score below 700</v>
      </c>
      <c r="O64" s="3" t="s">
        <v>85</v>
      </c>
    </row>
    <row r="65" customHeight="1" spans="1:15">
      <c r="A65" s="3" t="s">
        <v>238</v>
      </c>
      <c r="B65" s="3" t="s">
        <v>239</v>
      </c>
      <c r="C65" s="10">
        <v>62972</v>
      </c>
      <c r="D65" s="10">
        <v>0</v>
      </c>
      <c r="E65" s="10">
        <v>530000</v>
      </c>
      <c r="F65" s="10">
        <v>84</v>
      </c>
      <c r="G65" s="16">
        <v>11.21</v>
      </c>
      <c r="H65" s="10">
        <v>852</v>
      </c>
      <c r="I65" s="10">
        <f t="shared" si="0"/>
        <v>9133.51758313601</v>
      </c>
      <c r="J65" s="12">
        <f t="shared" si="1"/>
        <v>0.145040932210125</v>
      </c>
      <c r="K65" s="3" t="b">
        <f t="shared" si="2"/>
        <v>1</v>
      </c>
      <c r="L65" s="3" t="b">
        <f t="shared" si="3"/>
        <v>1</v>
      </c>
      <c r="M65" s="3" t="str">
        <f t="shared" si="4"/>
        <v>Eligible</v>
      </c>
      <c r="N65" s="3" t="str">
        <f t="shared" si="5"/>
        <v/>
      </c>
      <c r="O65" s="3" t="s">
        <v>85</v>
      </c>
    </row>
    <row r="66" customHeight="1" spans="1:15">
      <c r="A66" s="3" t="s">
        <v>240</v>
      </c>
      <c r="B66" s="3" t="s">
        <v>241</v>
      </c>
      <c r="C66" s="10">
        <v>129573</v>
      </c>
      <c r="D66" s="10">
        <v>1928</v>
      </c>
      <c r="E66" s="10">
        <v>850000</v>
      </c>
      <c r="F66" s="10">
        <v>60</v>
      </c>
      <c r="G66" s="16">
        <v>13.88</v>
      </c>
      <c r="H66" s="10">
        <v>820</v>
      </c>
      <c r="I66" s="10">
        <f t="shared" ref="I66:I129" si="6">IF(F66&lt;=0,"",IF(G66=0,E66/F66,E66*(G66/12/100)*(1+G66/12/100)^F66/((1+G66/12/100)^F66-1)))</f>
        <v>19725.1724258738</v>
      </c>
      <c r="J66" s="12">
        <f t="shared" ref="J66:J129" si="7">IF(C66&lt;=0,"",(D66+I66)/C66)</f>
        <v>0.167111762681067</v>
      </c>
      <c r="K66" s="3" t="b">
        <f t="shared" ref="K66:K129" si="8">IF(J66="","",J66&lt;=50%)</f>
        <v>1</v>
      </c>
      <c r="L66" s="3" t="b">
        <f t="shared" ref="L66:L129" si="9">H66&gt;=700</f>
        <v>1</v>
      </c>
      <c r="M66" s="3" t="str">
        <f t="shared" ref="M66:M129" si="10">IF(AND(K66,L66),"Eligible","Not Eligible")</f>
        <v>Eligible</v>
      </c>
      <c r="N66" s="3" t="str">
        <f t="shared" ref="N66:N129" si="11">IF(M66="Eligible","",IF(AND(NOT(K66),NOT(L66)),"FOIR exceeds 50% and credit score below 700",IF(NOT(K66),"FOIR exceeds 50%","Credit score below 700")))</f>
        <v/>
      </c>
      <c r="O66" s="3" t="s">
        <v>85</v>
      </c>
    </row>
    <row r="67" customHeight="1" spans="1:15">
      <c r="A67" s="3" t="s">
        <v>242</v>
      </c>
      <c r="B67" s="3" t="s">
        <v>243</v>
      </c>
      <c r="C67" s="10">
        <v>89867</v>
      </c>
      <c r="D67" s="10">
        <v>9966</v>
      </c>
      <c r="E67" s="10">
        <v>790000</v>
      </c>
      <c r="F67" s="10">
        <v>60</v>
      </c>
      <c r="G67" s="16">
        <v>10.05</v>
      </c>
      <c r="H67" s="10">
        <v>779</v>
      </c>
      <c r="I67" s="10">
        <f t="shared" si="6"/>
        <v>16804.6075376864</v>
      </c>
      <c r="J67" s="12">
        <f t="shared" si="7"/>
        <v>0.297891412172281</v>
      </c>
      <c r="K67" s="3" t="b">
        <f t="shared" si="8"/>
        <v>1</v>
      </c>
      <c r="L67" s="3" t="b">
        <f t="shared" si="9"/>
        <v>1</v>
      </c>
      <c r="M67" s="3" t="str">
        <f t="shared" si="10"/>
        <v>Eligible</v>
      </c>
      <c r="N67" s="3" t="str">
        <f t="shared" si="11"/>
        <v/>
      </c>
      <c r="O67" s="3" t="s">
        <v>85</v>
      </c>
    </row>
    <row r="68" customHeight="1" spans="1:15">
      <c r="A68" s="3" t="s">
        <v>244</v>
      </c>
      <c r="B68" s="3" t="s">
        <v>245</v>
      </c>
      <c r="C68" s="10">
        <v>22482</v>
      </c>
      <c r="D68" s="10">
        <v>8010</v>
      </c>
      <c r="E68" s="10">
        <v>650000</v>
      </c>
      <c r="F68" s="10">
        <v>60</v>
      </c>
      <c r="G68" s="16">
        <v>10.31</v>
      </c>
      <c r="H68" s="10">
        <v>761</v>
      </c>
      <c r="I68" s="10">
        <f t="shared" si="6"/>
        <v>13909.9340646572</v>
      </c>
      <c r="J68" s="12">
        <f t="shared" si="7"/>
        <v>0.974999291195498</v>
      </c>
      <c r="K68" s="3" t="b">
        <f t="shared" si="8"/>
        <v>0</v>
      </c>
      <c r="L68" s="3" t="b">
        <f t="shared" si="9"/>
        <v>1</v>
      </c>
      <c r="M68" s="3" t="str">
        <f t="shared" si="10"/>
        <v>Not Eligible</v>
      </c>
      <c r="N68" s="3" t="str">
        <f t="shared" si="11"/>
        <v>FOIR exceeds 50%</v>
      </c>
      <c r="O68" s="3" t="s">
        <v>91</v>
      </c>
    </row>
    <row r="69" customHeight="1" spans="1:15">
      <c r="A69" s="3" t="s">
        <v>246</v>
      </c>
      <c r="B69" s="3" t="s">
        <v>247</v>
      </c>
      <c r="C69" s="10">
        <v>57360</v>
      </c>
      <c r="D69" s="10">
        <v>2833</v>
      </c>
      <c r="E69" s="10">
        <v>1120000</v>
      </c>
      <c r="F69" s="10">
        <v>60</v>
      </c>
      <c r="G69" s="16">
        <v>14.16</v>
      </c>
      <c r="H69" s="10">
        <v>669</v>
      </c>
      <c r="I69" s="10">
        <f t="shared" si="6"/>
        <v>26153.4380731979</v>
      </c>
      <c r="J69" s="12">
        <f t="shared" si="7"/>
        <v>0.50534236529285</v>
      </c>
      <c r="K69" s="3" t="b">
        <f t="shared" si="8"/>
        <v>0</v>
      </c>
      <c r="L69" s="3" t="b">
        <f t="shared" si="9"/>
        <v>0</v>
      </c>
      <c r="M69" s="3" t="str">
        <f t="shared" si="10"/>
        <v>Not Eligible</v>
      </c>
      <c r="N69" s="3" t="str">
        <f t="shared" si="11"/>
        <v>FOIR exceeds 50% and credit score below 700</v>
      </c>
      <c r="O69" s="3" t="s">
        <v>85</v>
      </c>
    </row>
    <row r="70" customHeight="1" spans="1:15">
      <c r="A70" s="3" t="s">
        <v>248</v>
      </c>
      <c r="B70" s="3" t="s">
        <v>249</v>
      </c>
      <c r="C70" s="10">
        <v>102280</v>
      </c>
      <c r="D70" s="10">
        <v>0</v>
      </c>
      <c r="E70" s="10">
        <v>440000</v>
      </c>
      <c r="F70" s="10">
        <v>48</v>
      </c>
      <c r="G70" s="16">
        <v>11.03</v>
      </c>
      <c r="H70" s="10">
        <v>748</v>
      </c>
      <c r="I70" s="10">
        <f t="shared" si="6"/>
        <v>11378.4413317125</v>
      </c>
      <c r="J70" s="12">
        <f t="shared" si="7"/>
        <v>0.111247959832934</v>
      </c>
      <c r="K70" s="3" t="b">
        <f t="shared" si="8"/>
        <v>1</v>
      </c>
      <c r="L70" s="3" t="b">
        <f t="shared" si="9"/>
        <v>1</v>
      </c>
      <c r="M70" s="3" t="str">
        <f t="shared" si="10"/>
        <v>Eligible</v>
      </c>
      <c r="N70" s="3" t="str">
        <f t="shared" si="11"/>
        <v/>
      </c>
      <c r="O70" s="3" t="s">
        <v>85</v>
      </c>
    </row>
    <row r="71" customHeight="1" spans="1:15">
      <c r="A71" s="3" t="s">
        <v>250</v>
      </c>
      <c r="B71" s="3" t="s">
        <v>190</v>
      </c>
      <c r="C71" s="10">
        <v>20687</v>
      </c>
      <c r="D71" s="10">
        <v>0</v>
      </c>
      <c r="E71" s="10">
        <v>540000</v>
      </c>
      <c r="F71" s="10">
        <v>48</v>
      </c>
      <c r="G71" s="16">
        <v>11.67</v>
      </c>
      <c r="H71" s="10">
        <v>688</v>
      </c>
      <c r="I71" s="10">
        <f t="shared" si="6"/>
        <v>14132.9338455845</v>
      </c>
      <c r="J71" s="12">
        <f t="shared" si="7"/>
        <v>0.683179477236163</v>
      </c>
      <c r="K71" s="3" t="b">
        <f t="shared" si="8"/>
        <v>0</v>
      </c>
      <c r="L71" s="3" t="b">
        <f t="shared" si="9"/>
        <v>0</v>
      </c>
      <c r="M71" s="3" t="str">
        <f t="shared" si="10"/>
        <v>Not Eligible</v>
      </c>
      <c r="N71" s="3" t="str">
        <f t="shared" si="11"/>
        <v>FOIR exceeds 50% and credit score below 700</v>
      </c>
      <c r="O71" s="3" t="s">
        <v>91</v>
      </c>
    </row>
    <row r="72" customHeight="1" spans="1:15">
      <c r="A72" s="3" t="s">
        <v>251</v>
      </c>
      <c r="B72" s="3" t="s">
        <v>252</v>
      </c>
      <c r="C72" s="10">
        <v>79828</v>
      </c>
      <c r="D72" s="10">
        <v>17879</v>
      </c>
      <c r="E72" s="10">
        <v>670000</v>
      </c>
      <c r="F72" s="10">
        <v>48</v>
      </c>
      <c r="G72" s="16">
        <v>11.44</v>
      </c>
      <c r="H72" s="10">
        <v>743</v>
      </c>
      <c r="I72" s="10">
        <f t="shared" si="6"/>
        <v>17460.0122139238</v>
      </c>
      <c r="J72" s="12">
        <f t="shared" si="7"/>
        <v>0.44268943495921</v>
      </c>
      <c r="K72" s="3" t="b">
        <f t="shared" si="8"/>
        <v>1</v>
      </c>
      <c r="L72" s="3" t="b">
        <f t="shared" si="9"/>
        <v>1</v>
      </c>
      <c r="M72" s="3" t="str">
        <f t="shared" si="10"/>
        <v>Eligible</v>
      </c>
      <c r="N72" s="3" t="str">
        <f t="shared" si="11"/>
        <v/>
      </c>
      <c r="O72" s="3" t="s">
        <v>91</v>
      </c>
    </row>
    <row r="73" customHeight="1" spans="1:15">
      <c r="A73" s="3" t="s">
        <v>253</v>
      </c>
      <c r="B73" s="3" t="s">
        <v>254</v>
      </c>
      <c r="C73" s="10">
        <v>29308</v>
      </c>
      <c r="D73" s="10">
        <v>6528</v>
      </c>
      <c r="E73" s="10">
        <v>380000</v>
      </c>
      <c r="F73" s="10">
        <v>48</v>
      </c>
      <c r="G73" s="16">
        <v>11.03</v>
      </c>
      <c r="H73" s="10">
        <v>702</v>
      </c>
      <c r="I73" s="10">
        <f t="shared" si="6"/>
        <v>9826.8356955699</v>
      </c>
      <c r="J73" s="12">
        <f t="shared" si="7"/>
        <v>0.558033154618872</v>
      </c>
      <c r="K73" s="3" t="b">
        <f t="shared" si="8"/>
        <v>0</v>
      </c>
      <c r="L73" s="3" t="b">
        <f t="shared" si="9"/>
        <v>1</v>
      </c>
      <c r="M73" s="3" t="str">
        <f t="shared" si="10"/>
        <v>Not Eligible</v>
      </c>
      <c r="N73" s="3" t="str">
        <f t="shared" si="11"/>
        <v>FOIR exceeds 50%</v>
      </c>
      <c r="O73" s="3" t="s">
        <v>85</v>
      </c>
    </row>
    <row r="74" customHeight="1" spans="1:15">
      <c r="A74" s="3" t="s">
        <v>255</v>
      </c>
      <c r="B74" s="3" t="s">
        <v>256</v>
      </c>
      <c r="C74" s="10">
        <v>23444</v>
      </c>
      <c r="D74" s="10">
        <v>6213</v>
      </c>
      <c r="E74" s="10">
        <v>410000</v>
      </c>
      <c r="F74" s="10">
        <v>36</v>
      </c>
      <c r="G74" s="16">
        <v>14.47</v>
      </c>
      <c r="H74" s="10">
        <v>733</v>
      </c>
      <c r="I74" s="10">
        <f t="shared" si="6"/>
        <v>14106.6027897048</v>
      </c>
      <c r="J74" s="12">
        <f t="shared" si="7"/>
        <v>0.866729346088756</v>
      </c>
      <c r="K74" s="3" t="b">
        <f t="shared" si="8"/>
        <v>0</v>
      </c>
      <c r="L74" s="3" t="b">
        <f t="shared" si="9"/>
        <v>1</v>
      </c>
      <c r="M74" s="3" t="str">
        <f t="shared" si="10"/>
        <v>Not Eligible</v>
      </c>
      <c r="N74" s="3" t="str">
        <f t="shared" si="11"/>
        <v>FOIR exceeds 50%</v>
      </c>
      <c r="O74" s="3" t="s">
        <v>85</v>
      </c>
    </row>
    <row r="75" customHeight="1" spans="1:15">
      <c r="A75" s="3" t="s">
        <v>257</v>
      </c>
      <c r="B75" s="3" t="s">
        <v>258</v>
      </c>
      <c r="C75" s="10">
        <v>59485</v>
      </c>
      <c r="D75" s="10">
        <v>0</v>
      </c>
      <c r="E75" s="10">
        <v>340000</v>
      </c>
      <c r="F75" s="10">
        <v>36</v>
      </c>
      <c r="G75" s="16">
        <v>13.12</v>
      </c>
      <c r="H75" s="10">
        <v>819</v>
      </c>
      <c r="I75" s="10">
        <f t="shared" si="6"/>
        <v>11475.6053827198</v>
      </c>
      <c r="J75" s="12">
        <f t="shared" si="7"/>
        <v>0.192915951630155</v>
      </c>
      <c r="K75" s="3" t="b">
        <f t="shared" si="8"/>
        <v>1</v>
      </c>
      <c r="L75" s="3" t="b">
        <f t="shared" si="9"/>
        <v>1</v>
      </c>
      <c r="M75" s="3" t="str">
        <f t="shared" si="10"/>
        <v>Eligible</v>
      </c>
      <c r="N75" s="3" t="str">
        <f t="shared" si="11"/>
        <v/>
      </c>
      <c r="O75" s="3" t="s">
        <v>85</v>
      </c>
    </row>
    <row r="76" customHeight="1" spans="1:15">
      <c r="A76" s="3" t="s">
        <v>259</v>
      </c>
      <c r="B76" s="3" t="s">
        <v>260</v>
      </c>
      <c r="C76" s="10">
        <v>53251</v>
      </c>
      <c r="D76" s="10">
        <v>10059</v>
      </c>
      <c r="E76" s="10">
        <v>1390000</v>
      </c>
      <c r="F76" s="10">
        <v>84</v>
      </c>
      <c r="G76" s="16">
        <v>10.15</v>
      </c>
      <c r="H76" s="10">
        <v>880</v>
      </c>
      <c r="I76" s="10">
        <f t="shared" si="6"/>
        <v>23183.5197914839</v>
      </c>
      <c r="J76" s="12">
        <f t="shared" si="7"/>
        <v>0.624260948930235</v>
      </c>
      <c r="K76" s="3" t="b">
        <f t="shared" si="8"/>
        <v>0</v>
      </c>
      <c r="L76" s="3" t="b">
        <f t="shared" si="9"/>
        <v>1</v>
      </c>
      <c r="M76" s="3" t="str">
        <f t="shared" si="10"/>
        <v>Not Eligible</v>
      </c>
      <c r="N76" s="3" t="str">
        <f t="shared" si="11"/>
        <v>FOIR exceeds 50%</v>
      </c>
      <c r="O76" s="3" t="s">
        <v>85</v>
      </c>
    </row>
    <row r="77" customHeight="1" spans="1:15">
      <c r="A77" s="3" t="s">
        <v>261</v>
      </c>
      <c r="B77" s="3" t="s">
        <v>262</v>
      </c>
      <c r="C77" s="10">
        <v>50551</v>
      </c>
      <c r="D77" s="10">
        <v>15195</v>
      </c>
      <c r="E77" s="10">
        <v>340000</v>
      </c>
      <c r="F77" s="10">
        <v>36</v>
      </c>
      <c r="G77" s="16">
        <v>13.69</v>
      </c>
      <c r="H77" s="10">
        <v>714</v>
      </c>
      <c r="I77" s="10">
        <f t="shared" si="6"/>
        <v>11569.2680313978</v>
      </c>
      <c r="J77" s="12">
        <f t="shared" si="7"/>
        <v>0.529450812672308</v>
      </c>
      <c r="K77" s="3" t="b">
        <f t="shared" si="8"/>
        <v>0</v>
      </c>
      <c r="L77" s="3" t="b">
        <f t="shared" si="9"/>
        <v>1</v>
      </c>
      <c r="M77" s="3" t="str">
        <f t="shared" si="10"/>
        <v>Not Eligible</v>
      </c>
      <c r="N77" s="3" t="str">
        <f t="shared" si="11"/>
        <v>FOIR exceeds 50%</v>
      </c>
      <c r="O77" s="3" t="s">
        <v>85</v>
      </c>
    </row>
    <row r="78" customHeight="1" spans="1:15">
      <c r="A78" s="3" t="s">
        <v>263</v>
      </c>
      <c r="B78" s="3" t="s">
        <v>264</v>
      </c>
      <c r="C78" s="10">
        <v>69573</v>
      </c>
      <c r="D78" s="10">
        <v>0</v>
      </c>
      <c r="E78" s="10">
        <v>720000</v>
      </c>
      <c r="F78" s="10">
        <v>60</v>
      </c>
      <c r="G78" s="16">
        <v>15.13</v>
      </c>
      <c r="H78" s="10">
        <v>748</v>
      </c>
      <c r="I78" s="10">
        <f t="shared" si="6"/>
        <v>17177.9206674425</v>
      </c>
      <c r="J78" s="12">
        <f t="shared" si="7"/>
        <v>0.246904987099054</v>
      </c>
      <c r="K78" s="3" t="b">
        <f t="shared" si="8"/>
        <v>1</v>
      </c>
      <c r="L78" s="3" t="b">
        <f t="shared" si="9"/>
        <v>1</v>
      </c>
      <c r="M78" s="3" t="str">
        <f t="shared" si="10"/>
        <v>Eligible</v>
      </c>
      <c r="N78" s="3" t="str">
        <f t="shared" si="11"/>
        <v/>
      </c>
      <c r="O78" s="3" t="s">
        <v>85</v>
      </c>
    </row>
    <row r="79" customHeight="1" spans="1:15">
      <c r="A79" s="3" t="s">
        <v>265</v>
      </c>
      <c r="B79" s="3" t="s">
        <v>266</v>
      </c>
      <c r="C79" s="10">
        <v>130953</v>
      </c>
      <c r="D79" s="10">
        <v>37590</v>
      </c>
      <c r="E79" s="10">
        <v>260000</v>
      </c>
      <c r="F79" s="10">
        <v>48</v>
      </c>
      <c r="G79" s="16">
        <v>11.23</v>
      </c>
      <c r="H79" s="10">
        <v>639</v>
      </c>
      <c r="I79" s="10">
        <f t="shared" si="6"/>
        <v>6748.91350735374</v>
      </c>
      <c r="J79" s="12">
        <f t="shared" si="7"/>
        <v>0.338586466192861</v>
      </c>
      <c r="K79" s="3" t="b">
        <f t="shared" si="8"/>
        <v>1</v>
      </c>
      <c r="L79" s="3" t="b">
        <f t="shared" si="9"/>
        <v>0</v>
      </c>
      <c r="M79" s="3" t="str">
        <f t="shared" si="10"/>
        <v>Not Eligible</v>
      </c>
      <c r="N79" s="3" t="str">
        <f t="shared" si="11"/>
        <v>Credit score below 700</v>
      </c>
      <c r="O79" s="3" t="s">
        <v>85</v>
      </c>
    </row>
    <row r="80" customHeight="1" spans="1:15">
      <c r="A80" s="3" t="s">
        <v>267</v>
      </c>
      <c r="B80" s="3" t="s">
        <v>268</v>
      </c>
      <c r="C80" s="10">
        <v>91991</v>
      </c>
      <c r="D80" s="10">
        <v>0</v>
      </c>
      <c r="E80" s="10">
        <v>990000</v>
      </c>
      <c r="F80" s="10">
        <v>84</v>
      </c>
      <c r="G80" s="16">
        <v>10.24</v>
      </c>
      <c r="H80" s="10">
        <v>663</v>
      </c>
      <c r="I80" s="10">
        <f t="shared" si="6"/>
        <v>16558.1996396345</v>
      </c>
      <c r="J80" s="12">
        <f t="shared" si="7"/>
        <v>0.179998039369444</v>
      </c>
      <c r="K80" s="3" t="b">
        <f t="shared" si="8"/>
        <v>1</v>
      </c>
      <c r="L80" s="3" t="b">
        <f t="shared" si="9"/>
        <v>0</v>
      </c>
      <c r="M80" s="3" t="str">
        <f t="shared" si="10"/>
        <v>Not Eligible</v>
      </c>
      <c r="N80" s="3" t="str">
        <f t="shared" si="11"/>
        <v>Credit score below 700</v>
      </c>
      <c r="O80" s="3" t="s">
        <v>85</v>
      </c>
    </row>
    <row r="81" customHeight="1" spans="1:15">
      <c r="A81" s="3" t="s">
        <v>269</v>
      </c>
      <c r="B81" s="3" t="s">
        <v>270</v>
      </c>
      <c r="C81" s="10">
        <v>121319</v>
      </c>
      <c r="D81" s="10">
        <v>0</v>
      </c>
      <c r="E81" s="10">
        <v>1080000</v>
      </c>
      <c r="F81" s="10">
        <v>60</v>
      </c>
      <c r="G81" s="16">
        <v>9.45</v>
      </c>
      <c r="H81" s="10">
        <v>751</v>
      </c>
      <c r="I81" s="10">
        <f t="shared" si="6"/>
        <v>22655.6299515245</v>
      </c>
      <c r="J81" s="12">
        <f t="shared" si="7"/>
        <v>0.186744285326491</v>
      </c>
      <c r="K81" s="3" t="b">
        <f t="shared" si="8"/>
        <v>1</v>
      </c>
      <c r="L81" s="3" t="b">
        <f t="shared" si="9"/>
        <v>1</v>
      </c>
      <c r="M81" s="3" t="str">
        <f t="shared" si="10"/>
        <v>Eligible</v>
      </c>
      <c r="N81" s="3" t="str">
        <f t="shared" si="11"/>
        <v/>
      </c>
      <c r="O81" s="3" t="s">
        <v>85</v>
      </c>
    </row>
    <row r="82" customHeight="1" spans="1:15">
      <c r="A82" s="3" t="s">
        <v>271</v>
      </c>
      <c r="B82" s="3" t="s">
        <v>272</v>
      </c>
      <c r="C82" s="10">
        <v>81725</v>
      </c>
      <c r="D82" s="10">
        <v>18650</v>
      </c>
      <c r="E82" s="10">
        <v>2790000</v>
      </c>
      <c r="F82" s="10">
        <v>240</v>
      </c>
      <c r="G82" s="16">
        <v>9.15</v>
      </c>
      <c r="H82" s="10">
        <v>779</v>
      </c>
      <c r="I82" s="10">
        <f t="shared" si="6"/>
        <v>25372.1356927265</v>
      </c>
      <c r="J82" s="12">
        <f t="shared" si="7"/>
        <v>0.538661801073436</v>
      </c>
      <c r="K82" s="3" t="b">
        <f t="shared" si="8"/>
        <v>0</v>
      </c>
      <c r="L82" s="3" t="b">
        <f t="shared" si="9"/>
        <v>1</v>
      </c>
      <c r="M82" s="3" t="str">
        <f t="shared" si="10"/>
        <v>Not Eligible</v>
      </c>
      <c r="N82" s="3" t="str">
        <f t="shared" si="11"/>
        <v>FOIR exceeds 50%</v>
      </c>
      <c r="O82" s="3" t="s">
        <v>91</v>
      </c>
    </row>
    <row r="83" customHeight="1" spans="1:15">
      <c r="A83" s="3" t="s">
        <v>273</v>
      </c>
      <c r="B83" s="3" t="s">
        <v>181</v>
      </c>
      <c r="C83" s="10">
        <v>59054</v>
      </c>
      <c r="D83" s="10">
        <v>0</v>
      </c>
      <c r="E83" s="10">
        <v>360000</v>
      </c>
      <c r="F83" s="10">
        <v>36</v>
      </c>
      <c r="G83" s="16">
        <v>13.84</v>
      </c>
      <c r="H83" s="10">
        <v>695</v>
      </c>
      <c r="I83" s="10">
        <f t="shared" si="6"/>
        <v>12275.9894593329</v>
      </c>
      <c r="J83" s="12">
        <f t="shared" si="7"/>
        <v>0.207877357322669</v>
      </c>
      <c r="K83" s="3" t="b">
        <f t="shared" si="8"/>
        <v>1</v>
      </c>
      <c r="L83" s="3" t="b">
        <f t="shared" si="9"/>
        <v>0</v>
      </c>
      <c r="M83" s="3" t="str">
        <f t="shared" si="10"/>
        <v>Not Eligible</v>
      </c>
      <c r="N83" s="3" t="str">
        <f t="shared" si="11"/>
        <v>Credit score below 700</v>
      </c>
      <c r="O83" s="3" t="s">
        <v>85</v>
      </c>
    </row>
    <row r="84" customHeight="1" spans="1:15">
      <c r="A84" s="3" t="s">
        <v>274</v>
      </c>
      <c r="B84" s="3" t="s">
        <v>275</v>
      </c>
      <c r="C84" s="10">
        <v>113538</v>
      </c>
      <c r="D84" s="10">
        <v>38911</v>
      </c>
      <c r="E84" s="10">
        <v>3400000</v>
      </c>
      <c r="F84" s="10">
        <v>240</v>
      </c>
      <c r="G84" s="16">
        <v>8.51</v>
      </c>
      <c r="H84" s="10">
        <v>731</v>
      </c>
      <c r="I84" s="10">
        <f t="shared" si="6"/>
        <v>29527.512584427</v>
      </c>
      <c r="J84" s="12">
        <f t="shared" si="7"/>
        <v>0.602780677697573</v>
      </c>
      <c r="K84" s="3" t="b">
        <f t="shared" si="8"/>
        <v>0</v>
      </c>
      <c r="L84" s="3" t="b">
        <f t="shared" si="9"/>
        <v>1</v>
      </c>
      <c r="M84" s="3" t="str">
        <f t="shared" si="10"/>
        <v>Not Eligible</v>
      </c>
      <c r="N84" s="3" t="str">
        <f t="shared" si="11"/>
        <v>FOIR exceeds 50%</v>
      </c>
      <c r="O84" s="3" t="s">
        <v>85</v>
      </c>
    </row>
    <row r="85" customHeight="1" spans="1:15">
      <c r="A85" s="3" t="s">
        <v>276</v>
      </c>
      <c r="B85" s="3" t="s">
        <v>277</v>
      </c>
      <c r="C85" s="10">
        <v>69445</v>
      </c>
      <c r="D85" s="10">
        <v>2027</v>
      </c>
      <c r="E85" s="10">
        <v>2370000</v>
      </c>
      <c r="F85" s="10">
        <v>240</v>
      </c>
      <c r="G85" s="16">
        <v>9.57</v>
      </c>
      <c r="H85" s="10">
        <v>795</v>
      </c>
      <c r="I85" s="10">
        <f t="shared" si="6"/>
        <v>22199.9568230633</v>
      </c>
      <c r="J85" s="12">
        <f t="shared" si="7"/>
        <v>0.348865387329013</v>
      </c>
      <c r="K85" s="3" t="b">
        <f t="shared" si="8"/>
        <v>1</v>
      </c>
      <c r="L85" s="3" t="b">
        <f t="shared" si="9"/>
        <v>1</v>
      </c>
      <c r="M85" s="3" t="str">
        <f t="shared" si="10"/>
        <v>Eligible</v>
      </c>
      <c r="N85" s="3" t="str">
        <f t="shared" si="11"/>
        <v/>
      </c>
      <c r="O85" s="3" t="s">
        <v>85</v>
      </c>
    </row>
    <row r="86" customHeight="1" spans="1:15">
      <c r="A86" s="3" t="s">
        <v>278</v>
      </c>
      <c r="B86" s="3" t="s">
        <v>272</v>
      </c>
      <c r="C86" s="10">
        <v>28577</v>
      </c>
      <c r="D86" s="10">
        <v>0</v>
      </c>
      <c r="E86" s="10">
        <v>780000</v>
      </c>
      <c r="F86" s="10">
        <v>60</v>
      </c>
      <c r="G86" s="16">
        <v>9.84</v>
      </c>
      <c r="H86" s="10">
        <v>614</v>
      </c>
      <c r="I86" s="10">
        <f t="shared" si="6"/>
        <v>16511.3549910497</v>
      </c>
      <c r="J86" s="12">
        <f t="shared" si="7"/>
        <v>0.577784756659191</v>
      </c>
      <c r="K86" s="3" t="b">
        <f t="shared" si="8"/>
        <v>0</v>
      </c>
      <c r="L86" s="3" t="b">
        <f t="shared" si="9"/>
        <v>0</v>
      </c>
      <c r="M86" s="3" t="str">
        <f t="shared" si="10"/>
        <v>Not Eligible</v>
      </c>
      <c r="N86" s="3" t="str">
        <f t="shared" si="11"/>
        <v>FOIR exceeds 50% and credit score below 700</v>
      </c>
      <c r="O86" s="3" t="s">
        <v>91</v>
      </c>
    </row>
    <row r="87" customHeight="1" spans="1:15">
      <c r="A87" s="3" t="s">
        <v>279</v>
      </c>
      <c r="B87" s="3" t="s">
        <v>280</v>
      </c>
      <c r="C87" s="10">
        <v>104949</v>
      </c>
      <c r="D87" s="10">
        <v>0</v>
      </c>
      <c r="E87" s="10">
        <v>1230000</v>
      </c>
      <c r="F87" s="10">
        <v>60</v>
      </c>
      <c r="G87" s="16">
        <v>14.67</v>
      </c>
      <c r="H87" s="10">
        <v>740</v>
      </c>
      <c r="I87" s="10">
        <f t="shared" si="6"/>
        <v>29048.9843572549</v>
      </c>
      <c r="J87" s="12">
        <f t="shared" si="7"/>
        <v>0.276791435432971</v>
      </c>
      <c r="K87" s="3" t="b">
        <f t="shared" si="8"/>
        <v>1</v>
      </c>
      <c r="L87" s="3" t="b">
        <f t="shared" si="9"/>
        <v>1</v>
      </c>
      <c r="M87" s="3" t="str">
        <f t="shared" si="10"/>
        <v>Eligible</v>
      </c>
      <c r="N87" s="3" t="str">
        <f t="shared" si="11"/>
        <v/>
      </c>
      <c r="O87" s="3" t="s">
        <v>85</v>
      </c>
    </row>
    <row r="88" customHeight="1" spans="1:15">
      <c r="A88" s="3" t="s">
        <v>281</v>
      </c>
      <c r="B88" s="3" t="s">
        <v>282</v>
      </c>
      <c r="C88" s="10">
        <v>49257</v>
      </c>
      <c r="D88" s="10">
        <v>1198</v>
      </c>
      <c r="E88" s="10">
        <v>440000</v>
      </c>
      <c r="F88" s="10">
        <v>60</v>
      </c>
      <c r="G88" s="16">
        <v>13.89</v>
      </c>
      <c r="H88" s="10">
        <v>756</v>
      </c>
      <c r="I88" s="10">
        <f t="shared" si="6"/>
        <v>10212.9553235629</v>
      </c>
      <c r="J88" s="12">
        <f t="shared" si="7"/>
        <v>0.231661597814786</v>
      </c>
      <c r="K88" s="3" t="b">
        <f t="shared" si="8"/>
        <v>1</v>
      </c>
      <c r="L88" s="3" t="b">
        <f t="shared" si="9"/>
        <v>1</v>
      </c>
      <c r="M88" s="3" t="str">
        <f t="shared" si="10"/>
        <v>Eligible</v>
      </c>
      <c r="N88" s="3" t="str">
        <f t="shared" si="11"/>
        <v/>
      </c>
      <c r="O88" s="3" t="s">
        <v>85</v>
      </c>
    </row>
    <row r="89" customHeight="1" spans="1:15">
      <c r="A89" s="3" t="s">
        <v>283</v>
      </c>
      <c r="B89" s="3" t="s">
        <v>284</v>
      </c>
      <c r="C89" s="10">
        <v>76775</v>
      </c>
      <c r="D89" s="10">
        <v>4364</v>
      </c>
      <c r="E89" s="10">
        <v>1590000</v>
      </c>
      <c r="F89" s="10">
        <v>60</v>
      </c>
      <c r="G89" s="16">
        <v>15.15</v>
      </c>
      <c r="H89" s="10">
        <v>633</v>
      </c>
      <c r="I89" s="10">
        <f t="shared" si="6"/>
        <v>37951.2957073416</v>
      </c>
      <c r="J89" s="12">
        <f t="shared" si="7"/>
        <v>0.55115982686215</v>
      </c>
      <c r="K89" s="3" t="b">
        <f t="shared" si="8"/>
        <v>0</v>
      </c>
      <c r="L89" s="3" t="b">
        <f t="shared" si="9"/>
        <v>0</v>
      </c>
      <c r="M89" s="3" t="str">
        <f t="shared" si="10"/>
        <v>Not Eligible</v>
      </c>
      <c r="N89" s="3" t="str">
        <f t="shared" si="11"/>
        <v>FOIR exceeds 50% and credit score below 700</v>
      </c>
      <c r="O89" s="3" t="s">
        <v>85</v>
      </c>
    </row>
    <row r="90" customHeight="1" spans="1:15">
      <c r="A90" s="3" t="s">
        <v>285</v>
      </c>
      <c r="B90" s="3" t="s">
        <v>286</v>
      </c>
      <c r="C90" s="10">
        <v>72332</v>
      </c>
      <c r="D90" s="10">
        <v>11189</v>
      </c>
      <c r="E90" s="10">
        <v>1080000</v>
      </c>
      <c r="F90" s="10">
        <v>60</v>
      </c>
      <c r="G90" s="16">
        <v>9.9</v>
      </c>
      <c r="H90" s="10">
        <v>761</v>
      </c>
      <c r="I90" s="10">
        <f t="shared" si="6"/>
        <v>22893.7040121957</v>
      </c>
      <c r="J90" s="12">
        <f t="shared" si="7"/>
        <v>0.47119814206984</v>
      </c>
      <c r="K90" s="3" t="b">
        <f t="shared" si="8"/>
        <v>1</v>
      </c>
      <c r="L90" s="3" t="b">
        <f t="shared" si="9"/>
        <v>1</v>
      </c>
      <c r="M90" s="3" t="str">
        <f t="shared" si="10"/>
        <v>Eligible</v>
      </c>
      <c r="N90" s="3" t="str">
        <f t="shared" si="11"/>
        <v/>
      </c>
      <c r="O90" s="3" t="s">
        <v>85</v>
      </c>
    </row>
    <row r="91" customHeight="1" spans="1:15">
      <c r="A91" s="3" t="s">
        <v>287</v>
      </c>
      <c r="B91" s="3" t="s">
        <v>288</v>
      </c>
      <c r="C91" s="10">
        <v>28722</v>
      </c>
      <c r="D91" s="10">
        <v>0</v>
      </c>
      <c r="E91" s="10">
        <v>680000</v>
      </c>
      <c r="F91" s="10">
        <v>48</v>
      </c>
      <c r="G91" s="16">
        <v>11.44</v>
      </c>
      <c r="H91" s="10">
        <v>680</v>
      </c>
      <c r="I91" s="10">
        <f t="shared" si="6"/>
        <v>17720.6094111465</v>
      </c>
      <c r="J91" s="12">
        <f t="shared" si="7"/>
        <v>0.616969898027523</v>
      </c>
      <c r="K91" s="3" t="b">
        <f t="shared" si="8"/>
        <v>0</v>
      </c>
      <c r="L91" s="3" t="b">
        <f t="shared" si="9"/>
        <v>0</v>
      </c>
      <c r="M91" s="3" t="str">
        <f t="shared" si="10"/>
        <v>Not Eligible</v>
      </c>
      <c r="N91" s="3" t="str">
        <f t="shared" si="11"/>
        <v>FOIR exceeds 50% and credit score below 700</v>
      </c>
      <c r="O91" s="3" t="s">
        <v>85</v>
      </c>
    </row>
    <row r="92" customHeight="1" spans="1:15">
      <c r="A92" s="3" t="s">
        <v>289</v>
      </c>
      <c r="B92" s="3" t="s">
        <v>290</v>
      </c>
      <c r="C92" s="10">
        <v>102447</v>
      </c>
      <c r="D92" s="10">
        <v>23622</v>
      </c>
      <c r="E92" s="10">
        <v>1460000</v>
      </c>
      <c r="F92" s="10">
        <v>60</v>
      </c>
      <c r="G92" s="16">
        <v>13.78</v>
      </c>
      <c r="H92" s="10">
        <v>785</v>
      </c>
      <c r="I92" s="10">
        <f t="shared" si="6"/>
        <v>33805.3540485515</v>
      </c>
      <c r="J92" s="12">
        <f t="shared" si="7"/>
        <v>0.560556717605704</v>
      </c>
      <c r="K92" s="3" t="b">
        <f t="shared" si="8"/>
        <v>0</v>
      </c>
      <c r="L92" s="3" t="b">
        <f t="shared" si="9"/>
        <v>1</v>
      </c>
      <c r="M92" s="3" t="str">
        <f t="shared" si="10"/>
        <v>Not Eligible</v>
      </c>
      <c r="N92" s="3" t="str">
        <f t="shared" si="11"/>
        <v>FOIR exceeds 50%</v>
      </c>
      <c r="O92" s="3" t="s">
        <v>85</v>
      </c>
    </row>
    <row r="93" customHeight="1" spans="1:15">
      <c r="A93" s="3" t="s">
        <v>291</v>
      </c>
      <c r="B93" s="3" t="s">
        <v>292</v>
      </c>
      <c r="C93" s="10">
        <v>81166</v>
      </c>
      <c r="D93" s="10">
        <v>223</v>
      </c>
      <c r="E93" s="10">
        <v>160000</v>
      </c>
      <c r="F93" s="10">
        <v>36</v>
      </c>
      <c r="G93" s="16">
        <v>14.53</v>
      </c>
      <c r="H93" s="10">
        <v>628</v>
      </c>
      <c r="I93" s="10">
        <f t="shared" si="6"/>
        <v>5509.69763683555</v>
      </c>
      <c r="J93" s="12">
        <f t="shared" si="7"/>
        <v>0.0706292984357435</v>
      </c>
      <c r="K93" s="3" t="b">
        <f t="shared" si="8"/>
        <v>1</v>
      </c>
      <c r="L93" s="3" t="b">
        <f t="shared" si="9"/>
        <v>0</v>
      </c>
      <c r="M93" s="3" t="str">
        <f t="shared" si="10"/>
        <v>Not Eligible</v>
      </c>
      <c r="N93" s="3" t="str">
        <f t="shared" si="11"/>
        <v>Credit score below 700</v>
      </c>
      <c r="O93" s="3" t="s">
        <v>85</v>
      </c>
    </row>
    <row r="94" customHeight="1" spans="1:15">
      <c r="A94" s="3" t="s">
        <v>293</v>
      </c>
      <c r="B94" s="3" t="s">
        <v>294</v>
      </c>
      <c r="C94" s="10">
        <v>127074</v>
      </c>
      <c r="D94" s="10">
        <v>0</v>
      </c>
      <c r="E94" s="10">
        <v>680000</v>
      </c>
      <c r="F94" s="10">
        <v>60</v>
      </c>
      <c r="G94" s="16">
        <v>14.57</v>
      </c>
      <c r="H94" s="10">
        <v>818</v>
      </c>
      <c r="I94" s="10">
        <f t="shared" si="6"/>
        <v>16024.0739585796</v>
      </c>
      <c r="J94" s="12">
        <f t="shared" si="7"/>
        <v>0.12610033491178</v>
      </c>
      <c r="K94" s="3" t="b">
        <f t="shared" si="8"/>
        <v>1</v>
      </c>
      <c r="L94" s="3" t="b">
        <f t="shared" si="9"/>
        <v>1</v>
      </c>
      <c r="M94" s="3" t="str">
        <f t="shared" si="10"/>
        <v>Eligible</v>
      </c>
      <c r="N94" s="3" t="str">
        <f t="shared" si="11"/>
        <v/>
      </c>
      <c r="O94" s="3" t="s">
        <v>85</v>
      </c>
    </row>
    <row r="95" customHeight="1" spans="1:15">
      <c r="A95" s="3" t="s">
        <v>295</v>
      </c>
      <c r="B95" s="3" t="s">
        <v>296</v>
      </c>
      <c r="C95" s="10">
        <v>142862</v>
      </c>
      <c r="D95" s="10">
        <v>0</v>
      </c>
      <c r="E95" s="10">
        <v>610000</v>
      </c>
      <c r="F95" s="10">
        <v>60</v>
      </c>
      <c r="G95" s="16">
        <v>9.39</v>
      </c>
      <c r="H95" s="10">
        <v>706</v>
      </c>
      <c r="I95" s="10">
        <f t="shared" si="6"/>
        <v>12778.3689897132</v>
      </c>
      <c r="J95" s="12">
        <f t="shared" si="7"/>
        <v>0.0894455417795722</v>
      </c>
      <c r="K95" s="3" t="b">
        <f t="shared" si="8"/>
        <v>1</v>
      </c>
      <c r="L95" s="3" t="b">
        <f t="shared" si="9"/>
        <v>1</v>
      </c>
      <c r="M95" s="3" t="str">
        <f t="shared" si="10"/>
        <v>Eligible</v>
      </c>
      <c r="N95" s="3" t="str">
        <f t="shared" si="11"/>
        <v/>
      </c>
      <c r="O95" s="3" t="s">
        <v>85</v>
      </c>
    </row>
    <row r="96" customHeight="1" spans="1:15">
      <c r="A96" s="3" t="s">
        <v>297</v>
      </c>
      <c r="B96" s="3" t="s">
        <v>298</v>
      </c>
      <c r="C96" s="10">
        <v>39275</v>
      </c>
      <c r="D96" s="10">
        <v>0</v>
      </c>
      <c r="E96" s="10">
        <v>5050000</v>
      </c>
      <c r="F96" s="10">
        <v>240</v>
      </c>
      <c r="G96" s="16">
        <v>9.18</v>
      </c>
      <c r="H96" s="10">
        <v>838</v>
      </c>
      <c r="I96" s="10">
        <f t="shared" si="6"/>
        <v>46022.4098589556</v>
      </c>
      <c r="J96" s="12">
        <f t="shared" si="7"/>
        <v>1.17179910525667</v>
      </c>
      <c r="K96" s="3" t="b">
        <f t="shared" si="8"/>
        <v>0</v>
      </c>
      <c r="L96" s="3" t="b">
        <f t="shared" si="9"/>
        <v>1</v>
      </c>
      <c r="M96" s="3" t="str">
        <f t="shared" si="10"/>
        <v>Not Eligible</v>
      </c>
      <c r="N96" s="3" t="str">
        <f t="shared" si="11"/>
        <v>FOIR exceeds 50%</v>
      </c>
      <c r="O96" s="3" t="s">
        <v>85</v>
      </c>
    </row>
    <row r="97" customHeight="1" spans="1:15">
      <c r="A97" s="3" t="s">
        <v>299</v>
      </c>
      <c r="B97" s="3" t="s">
        <v>300</v>
      </c>
      <c r="C97" s="10">
        <v>42691</v>
      </c>
      <c r="D97" s="10">
        <v>0</v>
      </c>
      <c r="E97" s="10">
        <v>540000</v>
      </c>
      <c r="F97" s="10">
        <v>60</v>
      </c>
      <c r="G97" s="16">
        <v>10.47</v>
      </c>
      <c r="H97" s="10">
        <v>794</v>
      </c>
      <c r="I97" s="10">
        <f t="shared" si="6"/>
        <v>11598.6826664202</v>
      </c>
      <c r="J97" s="12">
        <f t="shared" si="7"/>
        <v>0.271689177260317</v>
      </c>
      <c r="K97" s="3" t="b">
        <f t="shared" si="8"/>
        <v>1</v>
      </c>
      <c r="L97" s="3" t="b">
        <f t="shared" si="9"/>
        <v>1</v>
      </c>
      <c r="M97" s="3" t="str">
        <f t="shared" si="10"/>
        <v>Eligible</v>
      </c>
      <c r="N97" s="3" t="str">
        <f t="shared" si="11"/>
        <v/>
      </c>
      <c r="O97" s="3" t="s">
        <v>85</v>
      </c>
    </row>
    <row r="98" customHeight="1" spans="1:15">
      <c r="A98" s="3" t="s">
        <v>301</v>
      </c>
      <c r="B98" s="3" t="s">
        <v>302</v>
      </c>
      <c r="C98" s="10">
        <v>68977</v>
      </c>
      <c r="D98" s="10">
        <v>1025</v>
      </c>
      <c r="E98" s="10">
        <v>610000</v>
      </c>
      <c r="F98" s="10">
        <v>48</v>
      </c>
      <c r="G98" s="16">
        <v>12.19</v>
      </c>
      <c r="H98" s="10">
        <v>744</v>
      </c>
      <c r="I98" s="10">
        <f t="shared" si="6"/>
        <v>16120.6043449412</v>
      </c>
      <c r="J98" s="12">
        <f t="shared" si="7"/>
        <v>0.248569876117273</v>
      </c>
      <c r="K98" s="3" t="b">
        <f t="shared" si="8"/>
        <v>1</v>
      </c>
      <c r="L98" s="3" t="b">
        <f t="shared" si="9"/>
        <v>1</v>
      </c>
      <c r="M98" s="3" t="str">
        <f t="shared" si="10"/>
        <v>Eligible</v>
      </c>
      <c r="N98" s="3" t="str">
        <f t="shared" si="11"/>
        <v/>
      </c>
      <c r="O98" s="3" t="s">
        <v>85</v>
      </c>
    </row>
    <row r="99" customHeight="1" spans="1:15">
      <c r="A99" s="3" t="s">
        <v>303</v>
      </c>
      <c r="B99" s="3" t="s">
        <v>304</v>
      </c>
      <c r="C99" s="10">
        <v>115858</v>
      </c>
      <c r="D99" s="10">
        <v>18361</v>
      </c>
      <c r="E99" s="10">
        <v>3890000</v>
      </c>
      <c r="F99" s="10">
        <v>240</v>
      </c>
      <c r="G99" s="16">
        <v>8.34</v>
      </c>
      <c r="H99" s="10">
        <v>802</v>
      </c>
      <c r="I99" s="10">
        <f t="shared" si="6"/>
        <v>33365.4357762612</v>
      </c>
      <c r="J99" s="12">
        <f t="shared" si="7"/>
        <v>0.446464083414708</v>
      </c>
      <c r="K99" s="3" t="b">
        <f t="shared" si="8"/>
        <v>1</v>
      </c>
      <c r="L99" s="3" t="b">
        <f t="shared" si="9"/>
        <v>1</v>
      </c>
      <c r="M99" s="3" t="str">
        <f t="shared" si="10"/>
        <v>Eligible</v>
      </c>
      <c r="N99" s="3" t="str">
        <f t="shared" si="11"/>
        <v/>
      </c>
      <c r="O99" s="3" t="s">
        <v>85</v>
      </c>
    </row>
    <row r="100" customHeight="1" spans="1:15">
      <c r="A100" s="3" t="s">
        <v>305</v>
      </c>
      <c r="B100" s="3" t="s">
        <v>306</v>
      </c>
      <c r="C100" s="10">
        <v>42029</v>
      </c>
      <c r="D100" s="10">
        <v>1480</v>
      </c>
      <c r="E100" s="10">
        <v>780000</v>
      </c>
      <c r="F100" s="10">
        <v>60</v>
      </c>
      <c r="G100" s="16">
        <v>10.47</v>
      </c>
      <c r="H100" s="10">
        <v>682</v>
      </c>
      <c r="I100" s="10">
        <f t="shared" si="6"/>
        <v>16753.6527403847</v>
      </c>
      <c r="J100" s="12">
        <f t="shared" si="7"/>
        <v>0.433835036293624</v>
      </c>
      <c r="K100" s="3" t="b">
        <f t="shared" si="8"/>
        <v>1</v>
      </c>
      <c r="L100" s="3" t="b">
        <f t="shared" si="9"/>
        <v>0</v>
      </c>
      <c r="M100" s="3" t="str">
        <f t="shared" si="10"/>
        <v>Not Eligible</v>
      </c>
      <c r="N100" s="3" t="str">
        <f t="shared" si="11"/>
        <v>Credit score below 700</v>
      </c>
      <c r="O100" s="3" t="s">
        <v>91</v>
      </c>
    </row>
    <row r="101" customHeight="1" spans="1:15">
      <c r="A101" s="3" t="s">
        <v>307</v>
      </c>
      <c r="B101" s="3" t="s">
        <v>308</v>
      </c>
      <c r="C101" s="10">
        <v>35892</v>
      </c>
      <c r="D101" s="10">
        <v>1480</v>
      </c>
      <c r="E101" s="10">
        <v>1070000</v>
      </c>
      <c r="F101" s="10">
        <v>60</v>
      </c>
      <c r="G101" s="16">
        <v>14.01</v>
      </c>
      <c r="H101" s="10">
        <v>760</v>
      </c>
      <c r="I101" s="10">
        <f t="shared" si="6"/>
        <v>24902.5760351965</v>
      </c>
      <c r="J101" s="12">
        <f t="shared" si="7"/>
        <v>0.735054497804427</v>
      </c>
      <c r="K101" s="3" t="b">
        <f t="shared" si="8"/>
        <v>0</v>
      </c>
      <c r="L101" s="3" t="b">
        <f t="shared" si="9"/>
        <v>1</v>
      </c>
      <c r="M101" s="3" t="str">
        <f t="shared" si="10"/>
        <v>Not Eligible</v>
      </c>
      <c r="N101" s="3" t="str">
        <f t="shared" si="11"/>
        <v>FOIR exceeds 50%</v>
      </c>
      <c r="O101" s="3" t="s">
        <v>85</v>
      </c>
    </row>
    <row r="102" customHeight="1" spans="1:15">
      <c r="A102" s="3" t="s">
        <v>309</v>
      </c>
      <c r="B102" s="3" t="s">
        <v>310</v>
      </c>
      <c r="C102" s="10">
        <v>27341</v>
      </c>
      <c r="D102" s="10">
        <v>4265</v>
      </c>
      <c r="E102" s="10">
        <v>2910000</v>
      </c>
      <c r="F102" s="10">
        <v>240</v>
      </c>
      <c r="G102" s="16">
        <v>9.43</v>
      </c>
      <c r="H102" s="10">
        <v>721</v>
      </c>
      <c r="I102" s="10">
        <f t="shared" si="6"/>
        <v>26992.1370588716</v>
      </c>
      <c r="J102" s="12">
        <f t="shared" si="7"/>
        <v>1.14323313188514</v>
      </c>
      <c r="K102" s="3" t="b">
        <f t="shared" si="8"/>
        <v>0</v>
      </c>
      <c r="L102" s="3" t="b">
        <f t="shared" si="9"/>
        <v>1</v>
      </c>
      <c r="M102" s="3" t="str">
        <f t="shared" si="10"/>
        <v>Not Eligible</v>
      </c>
      <c r="N102" s="3" t="str">
        <f t="shared" si="11"/>
        <v>FOIR exceeds 50%</v>
      </c>
      <c r="O102" s="3" t="s">
        <v>85</v>
      </c>
    </row>
    <row r="103" customHeight="1" spans="1:15">
      <c r="A103" s="3" t="s">
        <v>311</v>
      </c>
      <c r="B103" s="3" t="s">
        <v>312</v>
      </c>
      <c r="C103" s="10">
        <v>89361</v>
      </c>
      <c r="D103" s="10">
        <v>7201</v>
      </c>
      <c r="E103" s="10">
        <v>1400000</v>
      </c>
      <c r="F103" s="10">
        <v>60</v>
      </c>
      <c r="G103" s="16">
        <v>14.6</v>
      </c>
      <c r="H103" s="10">
        <v>813</v>
      </c>
      <c r="I103" s="10">
        <f t="shared" si="6"/>
        <v>33012.6742328457</v>
      </c>
      <c r="J103" s="12">
        <f t="shared" si="7"/>
        <v>0.450013699856153</v>
      </c>
      <c r="K103" s="3" t="b">
        <f t="shared" si="8"/>
        <v>1</v>
      </c>
      <c r="L103" s="3" t="b">
        <f t="shared" si="9"/>
        <v>1</v>
      </c>
      <c r="M103" s="3" t="str">
        <f t="shared" si="10"/>
        <v>Eligible</v>
      </c>
      <c r="N103" s="3" t="str">
        <f t="shared" si="11"/>
        <v/>
      </c>
      <c r="O103" s="3" t="s">
        <v>85</v>
      </c>
    </row>
    <row r="104" customHeight="1" spans="1:15">
      <c r="A104" s="3" t="s">
        <v>313</v>
      </c>
      <c r="B104" s="3" t="s">
        <v>314</v>
      </c>
      <c r="C104" s="10">
        <v>40049</v>
      </c>
      <c r="D104" s="10">
        <v>981</v>
      </c>
      <c r="E104" s="10">
        <v>1840000</v>
      </c>
      <c r="F104" s="10">
        <v>60</v>
      </c>
      <c r="G104" s="16">
        <v>14.35</v>
      </c>
      <c r="H104" s="10">
        <v>591</v>
      </c>
      <c r="I104" s="10">
        <f t="shared" si="6"/>
        <v>43148.1871934409</v>
      </c>
      <c r="J104" s="12">
        <f t="shared" si="7"/>
        <v>1.10187987698671</v>
      </c>
      <c r="K104" s="3" t="b">
        <f t="shared" si="8"/>
        <v>0</v>
      </c>
      <c r="L104" s="3" t="b">
        <f t="shared" si="9"/>
        <v>0</v>
      </c>
      <c r="M104" s="3" t="str">
        <f t="shared" si="10"/>
        <v>Not Eligible</v>
      </c>
      <c r="N104" s="3" t="str">
        <f t="shared" si="11"/>
        <v>FOIR exceeds 50% and credit score below 700</v>
      </c>
      <c r="O104" s="3" t="s">
        <v>85</v>
      </c>
    </row>
    <row r="105" customHeight="1" spans="1:15">
      <c r="A105" s="3" t="s">
        <v>315</v>
      </c>
      <c r="B105" s="3" t="s">
        <v>194</v>
      </c>
      <c r="C105" s="10">
        <v>116416</v>
      </c>
      <c r="D105" s="10">
        <v>50061</v>
      </c>
      <c r="E105" s="10">
        <v>370000</v>
      </c>
      <c r="F105" s="10">
        <v>48</v>
      </c>
      <c r="G105" s="16">
        <v>10.62</v>
      </c>
      <c r="H105" s="10">
        <v>635</v>
      </c>
      <c r="I105" s="10">
        <f t="shared" si="6"/>
        <v>9494.70739915816</v>
      </c>
      <c r="J105" s="12">
        <f t="shared" si="7"/>
        <v>0.51157665096858</v>
      </c>
      <c r="K105" s="3" t="b">
        <f t="shared" si="8"/>
        <v>0</v>
      </c>
      <c r="L105" s="3" t="b">
        <f t="shared" si="9"/>
        <v>0</v>
      </c>
      <c r="M105" s="3" t="str">
        <f t="shared" si="10"/>
        <v>Not Eligible</v>
      </c>
      <c r="N105" s="3" t="str">
        <f t="shared" si="11"/>
        <v>FOIR exceeds 50% and credit score below 700</v>
      </c>
      <c r="O105" s="3" t="s">
        <v>85</v>
      </c>
    </row>
    <row r="106" customHeight="1" spans="1:15">
      <c r="A106" s="3" t="s">
        <v>316</v>
      </c>
      <c r="B106" s="3" t="s">
        <v>317</v>
      </c>
      <c r="C106" s="10">
        <v>30784</v>
      </c>
      <c r="D106" s="10">
        <v>1145</v>
      </c>
      <c r="E106" s="10">
        <v>370000</v>
      </c>
      <c r="F106" s="10">
        <v>36</v>
      </c>
      <c r="G106" s="16">
        <v>14.28</v>
      </c>
      <c r="H106" s="10">
        <v>637</v>
      </c>
      <c r="I106" s="10">
        <f t="shared" si="6"/>
        <v>12696.0988713428</v>
      </c>
      <c r="J106" s="12">
        <f t="shared" si="7"/>
        <v>0.449619895768671</v>
      </c>
      <c r="K106" s="3" t="b">
        <f t="shared" si="8"/>
        <v>1</v>
      </c>
      <c r="L106" s="3" t="b">
        <f t="shared" si="9"/>
        <v>0</v>
      </c>
      <c r="M106" s="3" t="str">
        <f t="shared" si="10"/>
        <v>Not Eligible</v>
      </c>
      <c r="N106" s="3" t="str">
        <f t="shared" si="11"/>
        <v>Credit score below 700</v>
      </c>
      <c r="O106" s="3" t="s">
        <v>85</v>
      </c>
    </row>
    <row r="107" customHeight="1" spans="1:15">
      <c r="A107" s="3" t="s">
        <v>318</v>
      </c>
      <c r="B107" s="3" t="s">
        <v>319</v>
      </c>
      <c r="C107" s="10">
        <v>121160</v>
      </c>
      <c r="D107" s="10">
        <v>0</v>
      </c>
      <c r="E107" s="10">
        <v>410000</v>
      </c>
      <c r="F107" s="10">
        <v>36</v>
      </c>
      <c r="G107" s="16">
        <v>13.8</v>
      </c>
      <c r="H107" s="10">
        <v>721</v>
      </c>
      <c r="I107" s="10">
        <f t="shared" si="6"/>
        <v>13973.0345414262</v>
      </c>
      <c r="J107" s="12">
        <f t="shared" si="7"/>
        <v>0.115327125630787</v>
      </c>
      <c r="K107" s="3" t="b">
        <f t="shared" si="8"/>
        <v>1</v>
      </c>
      <c r="L107" s="3" t="b">
        <f t="shared" si="9"/>
        <v>1</v>
      </c>
      <c r="M107" s="3" t="str">
        <f t="shared" si="10"/>
        <v>Eligible</v>
      </c>
      <c r="N107" s="3" t="str">
        <f t="shared" si="11"/>
        <v/>
      </c>
      <c r="O107" s="3" t="s">
        <v>85</v>
      </c>
    </row>
    <row r="108" customHeight="1" spans="1:15">
      <c r="A108" s="3" t="s">
        <v>320</v>
      </c>
      <c r="B108" s="3" t="s">
        <v>321</v>
      </c>
      <c r="C108" s="10">
        <v>158049</v>
      </c>
      <c r="D108" s="10">
        <v>0</v>
      </c>
      <c r="E108" s="10">
        <v>790000</v>
      </c>
      <c r="F108" s="10">
        <v>48</v>
      </c>
      <c r="G108" s="16">
        <v>11.2</v>
      </c>
      <c r="H108" s="10">
        <v>624</v>
      </c>
      <c r="I108" s="10">
        <f t="shared" si="6"/>
        <v>20494.7773144795</v>
      </c>
      <c r="J108" s="12">
        <f t="shared" si="7"/>
        <v>0.129673565251786</v>
      </c>
      <c r="K108" s="3" t="b">
        <f t="shared" si="8"/>
        <v>1</v>
      </c>
      <c r="L108" s="3" t="b">
        <f t="shared" si="9"/>
        <v>0</v>
      </c>
      <c r="M108" s="3" t="str">
        <f t="shared" si="10"/>
        <v>Not Eligible</v>
      </c>
      <c r="N108" s="3" t="str">
        <f t="shared" si="11"/>
        <v>Credit score below 700</v>
      </c>
      <c r="O108" s="3" t="s">
        <v>91</v>
      </c>
    </row>
    <row r="109" customHeight="1" spans="1:15">
      <c r="A109" s="3" t="s">
        <v>322</v>
      </c>
      <c r="B109" s="3" t="s">
        <v>323</v>
      </c>
      <c r="C109" s="10">
        <v>105609</v>
      </c>
      <c r="D109" s="10">
        <v>23511</v>
      </c>
      <c r="E109" s="10">
        <v>260000</v>
      </c>
      <c r="F109" s="10">
        <v>48</v>
      </c>
      <c r="G109" s="16">
        <v>11.14</v>
      </c>
      <c r="H109" s="10">
        <v>696</v>
      </c>
      <c r="I109" s="10">
        <f t="shared" si="6"/>
        <v>6737.52650783015</v>
      </c>
      <c r="J109" s="12">
        <f t="shared" si="7"/>
        <v>0.286419969016184</v>
      </c>
      <c r="K109" s="3" t="b">
        <f t="shared" si="8"/>
        <v>1</v>
      </c>
      <c r="L109" s="3" t="b">
        <f t="shared" si="9"/>
        <v>0</v>
      </c>
      <c r="M109" s="3" t="str">
        <f t="shared" si="10"/>
        <v>Not Eligible</v>
      </c>
      <c r="N109" s="3" t="str">
        <f t="shared" si="11"/>
        <v>Credit score below 700</v>
      </c>
      <c r="O109" s="3" t="s">
        <v>85</v>
      </c>
    </row>
    <row r="110" customHeight="1" spans="1:15">
      <c r="A110" s="3" t="s">
        <v>324</v>
      </c>
      <c r="B110" s="3" t="s">
        <v>325</v>
      </c>
      <c r="C110" s="10">
        <v>132143</v>
      </c>
      <c r="D110" s="10">
        <v>5840</v>
      </c>
      <c r="E110" s="10">
        <v>690000</v>
      </c>
      <c r="F110" s="10">
        <v>60</v>
      </c>
      <c r="G110" s="16">
        <v>15.14</v>
      </c>
      <c r="H110" s="10">
        <v>757</v>
      </c>
      <c r="I110" s="10">
        <f t="shared" si="6"/>
        <v>16465.8018706028</v>
      </c>
      <c r="J110" s="12">
        <f t="shared" si="7"/>
        <v>0.168800480317556</v>
      </c>
      <c r="K110" s="3" t="b">
        <f t="shared" si="8"/>
        <v>1</v>
      </c>
      <c r="L110" s="3" t="b">
        <f t="shared" si="9"/>
        <v>1</v>
      </c>
      <c r="M110" s="3" t="str">
        <f t="shared" si="10"/>
        <v>Eligible</v>
      </c>
      <c r="N110" s="3" t="str">
        <f t="shared" si="11"/>
        <v/>
      </c>
      <c r="O110" s="3" t="s">
        <v>85</v>
      </c>
    </row>
    <row r="111" customHeight="1" spans="1:15">
      <c r="A111" s="3" t="s">
        <v>326</v>
      </c>
      <c r="B111" s="3" t="s">
        <v>100</v>
      </c>
      <c r="C111" s="10">
        <v>104031</v>
      </c>
      <c r="D111" s="10">
        <v>31863</v>
      </c>
      <c r="E111" s="10">
        <v>4020000</v>
      </c>
      <c r="F111" s="10">
        <v>240</v>
      </c>
      <c r="G111" s="16">
        <v>8.5</v>
      </c>
      <c r="H111" s="10">
        <v>707</v>
      </c>
      <c r="I111" s="10">
        <f t="shared" si="6"/>
        <v>34886.4939812945</v>
      </c>
      <c r="J111" s="12">
        <f t="shared" si="7"/>
        <v>0.641630802177183</v>
      </c>
      <c r="K111" s="3" t="b">
        <f t="shared" si="8"/>
        <v>0</v>
      </c>
      <c r="L111" s="3" t="b">
        <f t="shared" si="9"/>
        <v>1</v>
      </c>
      <c r="M111" s="3" t="str">
        <f t="shared" si="10"/>
        <v>Not Eligible</v>
      </c>
      <c r="N111" s="3" t="str">
        <f t="shared" si="11"/>
        <v>FOIR exceeds 50%</v>
      </c>
      <c r="O111" s="3" t="s">
        <v>85</v>
      </c>
    </row>
    <row r="112" customHeight="1" spans="1:15">
      <c r="A112" s="3" t="s">
        <v>327</v>
      </c>
      <c r="B112" s="3" t="s">
        <v>328</v>
      </c>
      <c r="C112" s="10">
        <v>143430</v>
      </c>
      <c r="D112" s="10">
        <v>27992</v>
      </c>
      <c r="E112" s="10">
        <v>1490000</v>
      </c>
      <c r="F112" s="10">
        <v>60</v>
      </c>
      <c r="G112" s="16">
        <v>13.61</v>
      </c>
      <c r="H112" s="10">
        <v>751</v>
      </c>
      <c r="I112" s="10">
        <f t="shared" si="6"/>
        <v>34369.167381093</v>
      </c>
      <c r="J112" s="12">
        <f t="shared" si="7"/>
        <v>0.434784685080478</v>
      </c>
      <c r="K112" s="3" t="b">
        <f t="shared" si="8"/>
        <v>1</v>
      </c>
      <c r="L112" s="3" t="b">
        <f t="shared" si="9"/>
        <v>1</v>
      </c>
      <c r="M112" s="3" t="str">
        <f t="shared" si="10"/>
        <v>Eligible</v>
      </c>
      <c r="N112" s="3" t="str">
        <f t="shared" si="11"/>
        <v/>
      </c>
      <c r="O112" s="3" t="s">
        <v>85</v>
      </c>
    </row>
    <row r="113" customHeight="1" spans="1:15">
      <c r="A113" s="3" t="s">
        <v>329</v>
      </c>
      <c r="B113" s="3" t="s">
        <v>330</v>
      </c>
      <c r="C113" s="10">
        <v>33373</v>
      </c>
      <c r="D113" s="10">
        <v>8777</v>
      </c>
      <c r="E113" s="10">
        <v>800000</v>
      </c>
      <c r="F113" s="10">
        <v>48</v>
      </c>
      <c r="G113" s="16">
        <v>12.02</v>
      </c>
      <c r="H113" s="10">
        <v>774</v>
      </c>
      <c r="I113" s="10">
        <f t="shared" si="6"/>
        <v>21074.9250587708</v>
      </c>
      <c r="J113" s="12">
        <f t="shared" si="7"/>
        <v>0.894493304730495</v>
      </c>
      <c r="K113" s="3" t="b">
        <f t="shared" si="8"/>
        <v>0</v>
      </c>
      <c r="L113" s="3" t="b">
        <f t="shared" si="9"/>
        <v>1</v>
      </c>
      <c r="M113" s="3" t="str">
        <f t="shared" si="10"/>
        <v>Not Eligible</v>
      </c>
      <c r="N113" s="3" t="str">
        <f t="shared" si="11"/>
        <v>FOIR exceeds 50%</v>
      </c>
      <c r="O113" s="3" t="s">
        <v>85</v>
      </c>
    </row>
    <row r="114" customHeight="1" spans="1:15">
      <c r="A114" s="3" t="s">
        <v>331</v>
      </c>
      <c r="B114" s="3" t="s">
        <v>332</v>
      </c>
      <c r="C114" s="10">
        <v>44575</v>
      </c>
      <c r="D114" s="10">
        <v>0</v>
      </c>
      <c r="E114" s="10">
        <v>1080000</v>
      </c>
      <c r="F114" s="10">
        <v>84</v>
      </c>
      <c r="G114" s="16">
        <v>10.2</v>
      </c>
      <c r="H114" s="10">
        <v>796</v>
      </c>
      <c r="I114" s="10">
        <f t="shared" si="6"/>
        <v>18041.082435135</v>
      </c>
      <c r="J114" s="12">
        <f t="shared" si="7"/>
        <v>0.404735444422545</v>
      </c>
      <c r="K114" s="3" t="b">
        <f t="shared" si="8"/>
        <v>1</v>
      </c>
      <c r="L114" s="3" t="b">
        <f t="shared" si="9"/>
        <v>1</v>
      </c>
      <c r="M114" s="3" t="str">
        <f t="shared" si="10"/>
        <v>Eligible</v>
      </c>
      <c r="N114" s="3" t="str">
        <f t="shared" si="11"/>
        <v/>
      </c>
      <c r="O114" s="3" t="s">
        <v>85</v>
      </c>
    </row>
    <row r="115" customHeight="1" spans="1:15">
      <c r="A115" s="3" t="s">
        <v>333</v>
      </c>
      <c r="B115" s="3" t="s">
        <v>334</v>
      </c>
      <c r="C115" s="10">
        <v>40389</v>
      </c>
      <c r="D115" s="10">
        <v>0</v>
      </c>
      <c r="E115" s="10">
        <v>230000</v>
      </c>
      <c r="F115" s="10">
        <v>36</v>
      </c>
      <c r="G115" s="16">
        <v>13.75</v>
      </c>
      <c r="H115" s="10">
        <v>702</v>
      </c>
      <c r="I115" s="10">
        <f t="shared" si="6"/>
        <v>7832.95653738846</v>
      </c>
      <c r="J115" s="12">
        <f t="shared" si="7"/>
        <v>0.193937867671605</v>
      </c>
      <c r="K115" s="3" t="b">
        <f t="shared" si="8"/>
        <v>1</v>
      </c>
      <c r="L115" s="3" t="b">
        <f t="shared" si="9"/>
        <v>1</v>
      </c>
      <c r="M115" s="3" t="str">
        <f t="shared" si="10"/>
        <v>Eligible</v>
      </c>
      <c r="N115" s="3" t="str">
        <f t="shared" si="11"/>
        <v/>
      </c>
      <c r="O115" s="3" t="s">
        <v>85</v>
      </c>
    </row>
    <row r="116" customHeight="1" spans="1:15">
      <c r="A116" s="3" t="s">
        <v>335</v>
      </c>
      <c r="B116" s="3" t="s">
        <v>290</v>
      </c>
      <c r="C116" s="10">
        <v>72430</v>
      </c>
      <c r="D116" s="10">
        <v>0</v>
      </c>
      <c r="E116" s="10">
        <v>210000</v>
      </c>
      <c r="F116" s="10">
        <v>48</v>
      </c>
      <c r="G116" s="16">
        <v>10.8</v>
      </c>
      <c r="H116" s="10">
        <v>743</v>
      </c>
      <c r="I116" s="10">
        <f t="shared" si="6"/>
        <v>5407.18585664798</v>
      </c>
      <c r="J116" s="12">
        <f t="shared" si="7"/>
        <v>0.0746539535641029</v>
      </c>
      <c r="K116" s="3" t="b">
        <f t="shared" si="8"/>
        <v>1</v>
      </c>
      <c r="L116" s="3" t="b">
        <f t="shared" si="9"/>
        <v>1</v>
      </c>
      <c r="M116" s="3" t="str">
        <f t="shared" si="10"/>
        <v>Eligible</v>
      </c>
      <c r="N116" s="3" t="str">
        <f t="shared" si="11"/>
        <v/>
      </c>
      <c r="O116" s="3" t="s">
        <v>85</v>
      </c>
    </row>
    <row r="117" customHeight="1" spans="1:15">
      <c r="A117" s="3" t="s">
        <v>336</v>
      </c>
      <c r="B117" s="3" t="s">
        <v>337</v>
      </c>
      <c r="C117" s="10">
        <v>116334</v>
      </c>
      <c r="D117" s="10">
        <v>0</v>
      </c>
      <c r="E117" s="10">
        <v>2020000</v>
      </c>
      <c r="F117" s="10">
        <v>240</v>
      </c>
      <c r="G117" s="16">
        <v>8.39</v>
      </c>
      <c r="H117" s="10">
        <v>735</v>
      </c>
      <c r="I117" s="10">
        <f t="shared" si="6"/>
        <v>17389.6501506803</v>
      </c>
      <c r="J117" s="12">
        <f t="shared" si="7"/>
        <v>0.149480376765866</v>
      </c>
      <c r="K117" s="3" t="b">
        <f t="shared" si="8"/>
        <v>1</v>
      </c>
      <c r="L117" s="3" t="b">
        <f t="shared" si="9"/>
        <v>1</v>
      </c>
      <c r="M117" s="3" t="str">
        <f t="shared" si="10"/>
        <v>Eligible</v>
      </c>
      <c r="N117" s="3" t="str">
        <f t="shared" si="11"/>
        <v/>
      </c>
      <c r="O117" s="3" t="s">
        <v>85</v>
      </c>
    </row>
    <row r="118" customHeight="1" spans="1:15">
      <c r="A118" s="3" t="s">
        <v>338</v>
      </c>
      <c r="B118" s="3" t="s">
        <v>339</v>
      </c>
      <c r="C118" s="10">
        <v>89819</v>
      </c>
      <c r="D118" s="10">
        <v>0</v>
      </c>
      <c r="E118" s="10">
        <v>310000</v>
      </c>
      <c r="F118" s="10">
        <v>84</v>
      </c>
      <c r="G118" s="16">
        <v>10.23</v>
      </c>
      <c r="H118" s="10">
        <v>697</v>
      </c>
      <c r="I118" s="10">
        <f t="shared" si="6"/>
        <v>5183.2823846572</v>
      </c>
      <c r="J118" s="12">
        <f t="shared" si="7"/>
        <v>0.0577080838648527</v>
      </c>
      <c r="K118" s="3" t="b">
        <f t="shared" si="8"/>
        <v>1</v>
      </c>
      <c r="L118" s="3" t="b">
        <f t="shared" si="9"/>
        <v>0</v>
      </c>
      <c r="M118" s="3" t="str">
        <f t="shared" si="10"/>
        <v>Not Eligible</v>
      </c>
      <c r="N118" s="3" t="str">
        <f t="shared" si="11"/>
        <v>Credit score below 700</v>
      </c>
      <c r="O118" s="3" t="s">
        <v>85</v>
      </c>
    </row>
    <row r="119" customHeight="1" spans="1:15">
      <c r="A119" s="3" t="s">
        <v>340</v>
      </c>
      <c r="B119" s="3" t="s">
        <v>80</v>
      </c>
      <c r="C119" s="10">
        <v>86832</v>
      </c>
      <c r="D119" s="10">
        <v>15995</v>
      </c>
      <c r="E119" s="10">
        <v>640000</v>
      </c>
      <c r="F119" s="10">
        <v>60</v>
      </c>
      <c r="G119" s="16">
        <v>14.68</v>
      </c>
      <c r="H119" s="10">
        <v>743</v>
      </c>
      <c r="I119" s="10">
        <f t="shared" si="6"/>
        <v>15118.2646982707</v>
      </c>
      <c r="J119" s="12">
        <f t="shared" si="7"/>
        <v>0.35831565204384</v>
      </c>
      <c r="K119" s="3" t="b">
        <f t="shared" si="8"/>
        <v>1</v>
      </c>
      <c r="L119" s="3" t="b">
        <f t="shared" si="9"/>
        <v>1</v>
      </c>
      <c r="M119" s="3" t="str">
        <f t="shared" si="10"/>
        <v>Eligible</v>
      </c>
      <c r="N119" s="3" t="str">
        <f t="shared" si="11"/>
        <v/>
      </c>
      <c r="O119" s="3" t="s">
        <v>85</v>
      </c>
    </row>
    <row r="120" customHeight="1" spans="1:15">
      <c r="A120" s="3" t="s">
        <v>341</v>
      </c>
      <c r="B120" s="3" t="s">
        <v>342</v>
      </c>
      <c r="C120" s="10">
        <v>64319</v>
      </c>
      <c r="D120" s="10">
        <v>0</v>
      </c>
      <c r="E120" s="10">
        <v>470000</v>
      </c>
      <c r="F120" s="10">
        <v>48</v>
      </c>
      <c r="G120" s="16">
        <v>12.18</v>
      </c>
      <c r="H120" s="10">
        <v>741</v>
      </c>
      <c r="I120" s="10">
        <f t="shared" si="6"/>
        <v>12418.481205779</v>
      </c>
      <c r="J120" s="12">
        <f t="shared" si="7"/>
        <v>0.193076403640899</v>
      </c>
      <c r="K120" s="3" t="b">
        <f t="shared" si="8"/>
        <v>1</v>
      </c>
      <c r="L120" s="3" t="b">
        <f t="shared" si="9"/>
        <v>1</v>
      </c>
      <c r="M120" s="3" t="str">
        <f t="shared" si="10"/>
        <v>Eligible</v>
      </c>
      <c r="N120" s="3" t="str">
        <f t="shared" si="11"/>
        <v/>
      </c>
      <c r="O120" s="3" t="s">
        <v>85</v>
      </c>
    </row>
    <row r="121" customHeight="1" spans="1:15">
      <c r="A121" s="3" t="s">
        <v>343</v>
      </c>
      <c r="B121" s="3" t="s">
        <v>124</v>
      </c>
      <c r="C121" s="10">
        <v>114417</v>
      </c>
      <c r="D121" s="10">
        <v>31073</v>
      </c>
      <c r="E121" s="10">
        <v>460000</v>
      </c>
      <c r="F121" s="10">
        <v>36</v>
      </c>
      <c r="G121" s="16">
        <v>14.5</v>
      </c>
      <c r="H121" s="10">
        <v>635</v>
      </c>
      <c r="I121" s="10">
        <f t="shared" si="6"/>
        <v>15833.6496236944</v>
      </c>
      <c r="J121" s="12">
        <f t="shared" si="7"/>
        <v>0.40996224008403</v>
      </c>
      <c r="K121" s="3" t="b">
        <f t="shared" si="8"/>
        <v>1</v>
      </c>
      <c r="L121" s="3" t="b">
        <f t="shared" si="9"/>
        <v>0</v>
      </c>
      <c r="M121" s="3" t="str">
        <f t="shared" si="10"/>
        <v>Not Eligible</v>
      </c>
      <c r="N121" s="3" t="str">
        <f t="shared" si="11"/>
        <v>Credit score below 700</v>
      </c>
      <c r="O121" s="3" t="s">
        <v>85</v>
      </c>
    </row>
    <row r="122" customHeight="1" spans="1:15">
      <c r="A122" s="3" t="s">
        <v>344</v>
      </c>
      <c r="B122" s="3" t="s">
        <v>345</v>
      </c>
      <c r="C122" s="10">
        <v>132736</v>
      </c>
      <c r="D122" s="10">
        <v>12355</v>
      </c>
      <c r="E122" s="10">
        <v>1250000</v>
      </c>
      <c r="F122" s="10">
        <v>240</v>
      </c>
      <c r="G122" s="16">
        <v>8.71</v>
      </c>
      <c r="H122" s="10">
        <v>733</v>
      </c>
      <c r="I122" s="10">
        <f t="shared" si="6"/>
        <v>11014.5008899825</v>
      </c>
      <c r="J122" s="12">
        <f t="shared" si="7"/>
        <v>0.176060005499506</v>
      </c>
      <c r="K122" s="3" t="b">
        <f t="shared" si="8"/>
        <v>1</v>
      </c>
      <c r="L122" s="3" t="b">
        <f t="shared" si="9"/>
        <v>1</v>
      </c>
      <c r="M122" s="3" t="str">
        <f t="shared" si="10"/>
        <v>Eligible</v>
      </c>
      <c r="N122" s="3" t="str">
        <f t="shared" si="11"/>
        <v/>
      </c>
      <c r="O122" s="3" t="s">
        <v>85</v>
      </c>
    </row>
    <row r="123" customHeight="1" spans="1:15">
      <c r="A123" s="3" t="s">
        <v>346</v>
      </c>
      <c r="B123" s="3" t="s">
        <v>347</v>
      </c>
      <c r="C123" s="10">
        <v>59176</v>
      </c>
      <c r="D123" s="10">
        <v>0</v>
      </c>
      <c r="E123" s="10">
        <v>850000</v>
      </c>
      <c r="F123" s="10">
        <v>60</v>
      </c>
      <c r="G123" s="16">
        <v>10.6</v>
      </c>
      <c r="H123" s="10">
        <v>880</v>
      </c>
      <c r="I123" s="10">
        <f t="shared" si="6"/>
        <v>18311.9509667916</v>
      </c>
      <c r="J123" s="12">
        <f t="shared" si="7"/>
        <v>0.309448948337022</v>
      </c>
      <c r="K123" s="3" t="b">
        <f t="shared" si="8"/>
        <v>1</v>
      </c>
      <c r="L123" s="3" t="b">
        <f t="shared" si="9"/>
        <v>1</v>
      </c>
      <c r="M123" s="3" t="str">
        <f t="shared" si="10"/>
        <v>Eligible</v>
      </c>
      <c r="N123" s="3" t="str">
        <f t="shared" si="11"/>
        <v/>
      </c>
      <c r="O123" s="3" t="s">
        <v>85</v>
      </c>
    </row>
    <row r="124" customHeight="1" spans="1:15">
      <c r="A124" s="3" t="s">
        <v>348</v>
      </c>
      <c r="B124" s="3" t="s">
        <v>349</v>
      </c>
      <c r="C124" s="10">
        <v>53569</v>
      </c>
      <c r="D124" s="10">
        <v>14990</v>
      </c>
      <c r="E124" s="10">
        <v>3690000</v>
      </c>
      <c r="F124" s="10">
        <v>240</v>
      </c>
      <c r="G124" s="16">
        <v>9.16</v>
      </c>
      <c r="H124" s="10">
        <v>811</v>
      </c>
      <c r="I124" s="10">
        <f t="shared" si="6"/>
        <v>33580.5417003673</v>
      </c>
      <c r="J124" s="12">
        <f t="shared" si="7"/>
        <v>0.906691215075272</v>
      </c>
      <c r="K124" s="3" t="b">
        <f t="shared" si="8"/>
        <v>0</v>
      </c>
      <c r="L124" s="3" t="b">
        <f t="shared" si="9"/>
        <v>1</v>
      </c>
      <c r="M124" s="3" t="str">
        <f t="shared" si="10"/>
        <v>Not Eligible</v>
      </c>
      <c r="N124" s="3" t="str">
        <f t="shared" si="11"/>
        <v>FOIR exceeds 50%</v>
      </c>
      <c r="O124" s="3" t="s">
        <v>85</v>
      </c>
    </row>
    <row r="125" customHeight="1" spans="1:15">
      <c r="A125" s="3" t="s">
        <v>350</v>
      </c>
      <c r="B125" s="3" t="s">
        <v>351</v>
      </c>
      <c r="C125" s="10">
        <v>33687</v>
      </c>
      <c r="D125" s="10">
        <v>10154</v>
      </c>
      <c r="E125" s="10">
        <v>1200000</v>
      </c>
      <c r="F125" s="10">
        <v>60</v>
      </c>
      <c r="G125" s="16">
        <v>13.98</v>
      </c>
      <c r="H125" s="10">
        <v>748</v>
      </c>
      <c r="I125" s="10">
        <f t="shared" si="6"/>
        <v>27909.4600858622</v>
      </c>
      <c r="J125" s="12">
        <f t="shared" si="7"/>
        <v>1.12991540017996</v>
      </c>
      <c r="K125" s="3" t="b">
        <f t="shared" si="8"/>
        <v>0</v>
      </c>
      <c r="L125" s="3" t="b">
        <f t="shared" si="9"/>
        <v>1</v>
      </c>
      <c r="M125" s="3" t="str">
        <f t="shared" si="10"/>
        <v>Not Eligible</v>
      </c>
      <c r="N125" s="3" t="str">
        <f t="shared" si="11"/>
        <v>FOIR exceeds 50%</v>
      </c>
      <c r="O125" s="3" t="s">
        <v>85</v>
      </c>
    </row>
    <row r="126" customHeight="1" spans="1:15">
      <c r="A126" s="3" t="s">
        <v>352</v>
      </c>
      <c r="B126" s="3" t="s">
        <v>353</v>
      </c>
      <c r="C126" s="10">
        <v>35841</v>
      </c>
      <c r="D126" s="10">
        <v>0</v>
      </c>
      <c r="E126" s="10">
        <v>390000</v>
      </c>
      <c r="F126" s="10">
        <v>36</v>
      </c>
      <c r="G126" s="16">
        <v>13.78</v>
      </c>
      <c r="H126" s="10">
        <v>746</v>
      </c>
      <c r="I126" s="10">
        <f t="shared" si="6"/>
        <v>13287.6413016949</v>
      </c>
      <c r="J126" s="12">
        <f t="shared" si="7"/>
        <v>0.370738575979881</v>
      </c>
      <c r="K126" s="3" t="b">
        <f t="shared" si="8"/>
        <v>1</v>
      </c>
      <c r="L126" s="3" t="b">
        <f t="shared" si="9"/>
        <v>1</v>
      </c>
      <c r="M126" s="3" t="str">
        <f t="shared" si="10"/>
        <v>Eligible</v>
      </c>
      <c r="N126" s="3" t="str">
        <f t="shared" si="11"/>
        <v/>
      </c>
      <c r="O126" s="3" t="s">
        <v>85</v>
      </c>
    </row>
    <row r="127" customHeight="1" spans="1:15">
      <c r="A127" s="3" t="s">
        <v>354</v>
      </c>
      <c r="B127" s="3" t="s">
        <v>355</v>
      </c>
      <c r="C127" s="10">
        <v>44906</v>
      </c>
      <c r="D127" s="10">
        <v>15862</v>
      </c>
      <c r="E127" s="10">
        <v>470000</v>
      </c>
      <c r="F127" s="10">
        <v>84</v>
      </c>
      <c r="G127" s="16">
        <v>11.03</v>
      </c>
      <c r="H127" s="10">
        <v>737</v>
      </c>
      <c r="I127" s="10">
        <f t="shared" si="6"/>
        <v>8054.96070572346</v>
      </c>
      <c r="J127" s="12">
        <f t="shared" si="7"/>
        <v>0.532600559072807</v>
      </c>
      <c r="K127" s="3" t="b">
        <f t="shared" si="8"/>
        <v>0</v>
      </c>
      <c r="L127" s="3" t="b">
        <f t="shared" si="9"/>
        <v>1</v>
      </c>
      <c r="M127" s="3" t="str">
        <f t="shared" si="10"/>
        <v>Not Eligible</v>
      </c>
      <c r="N127" s="3" t="str">
        <f t="shared" si="11"/>
        <v>FOIR exceeds 50%</v>
      </c>
      <c r="O127" s="3" t="s">
        <v>85</v>
      </c>
    </row>
    <row r="128" customHeight="1" spans="1:15">
      <c r="A128" s="3" t="s">
        <v>356</v>
      </c>
      <c r="B128" s="3" t="s">
        <v>357</v>
      </c>
      <c r="C128" s="10">
        <v>75636</v>
      </c>
      <c r="D128" s="10">
        <v>0</v>
      </c>
      <c r="E128" s="10">
        <v>950000</v>
      </c>
      <c r="F128" s="10">
        <v>60</v>
      </c>
      <c r="G128" s="16">
        <v>9.9</v>
      </c>
      <c r="H128" s="10">
        <v>711</v>
      </c>
      <c r="I128" s="10">
        <f t="shared" si="6"/>
        <v>20137.980381098</v>
      </c>
      <c r="J128" s="12">
        <f t="shared" si="7"/>
        <v>0.266248616810752</v>
      </c>
      <c r="K128" s="3" t="b">
        <f t="shared" si="8"/>
        <v>1</v>
      </c>
      <c r="L128" s="3" t="b">
        <f t="shared" si="9"/>
        <v>1</v>
      </c>
      <c r="M128" s="3" t="str">
        <f t="shared" si="10"/>
        <v>Eligible</v>
      </c>
      <c r="N128" s="3" t="str">
        <f t="shared" si="11"/>
        <v/>
      </c>
      <c r="O128" s="3" t="s">
        <v>85</v>
      </c>
    </row>
    <row r="129" customHeight="1" spans="1:15">
      <c r="A129" s="3" t="s">
        <v>358</v>
      </c>
      <c r="B129" s="3" t="s">
        <v>359</v>
      </c>
      <c r="C129" s="10">
        <v>113746</v>
      </c>
      <c r="D129" s="10">
        <v>0</v>
      </c>
      <c r="E129" s="10">
        <v>470000</v>
      </c>
      <c r="F129" s="10">
        <v>36</v>
      </c>
      <c r="G129" s="16">
        <v>13.28</v>
      </c>
      <c r="H129" s="10">
        <v>674</v>
      </c>
      <c r="I129" s="10">
        <f t="shared" si="6"/>
        <v>15899.6185342024</v>
      </c>
      <c r="J129" s="12">
        <f t="shared" si="7"/>
        <v>0.139781781638057</v>
      </c>
      <c r="K129" s="3" t="b">
        <f t="shared" si="8"/>
        <v>1</v>
      </c>
      <c r="L129" s="3" t="b">
        <f t="shared" si="9"/>
        <v>0</v>
      </c>
      <c r="M129" s="3" t="str">
        <f t="shared" si="10"/>
        <v>Not Eligible</v>
      </c>
      <c r="N129" s="3" t="str">
        <f t="shared" si="11"/>
        <v>Credit score below 700</v>
      </c>
      <c r="O129" s="3" t="s">
        <v>85</v>
      </c>
    </row>
    <row r="130" customHeight="1" spans="1:15">
      <c r="A130" s="3" t="s">
        <v>360</v>
      </c>
      <c r="B130" s="3" t="s">
        <v>361</v>
      </c>
      <c r="C130" s="10">
        <v>50328</v>
      </c>
      <c r="D130" s="10">
        <v>0</v>
      </c>
      <c r="E130" s="10">
        <v>1750000</v>
      </c>
      <c r="F130" s="10">
        <v>60</v>
      </c>
      <c r="G130" s="16">
        <v>15.16</v>
      </c>
      <c r="H130" s="10">
        <v>656</v>
      </c>
      <c r="I130" s="10">
        <f t="shared" ref="I130:I193" si="12">IF(F130&lt;=0,"",IF(G130=0,E130/F130,E130*(G130/12/100)*(1+G130/12/100)^F130/((1+G130/12/100)^F130-1)))</f>
        <v>41779.4974611787</v>
      </c>
      <c r="J130" s="12">
        <f t="shared" ref="J130:J193" si="13">IF(C130&lt;=0,"",(D130+I130)/C130)</f>
        <v>0.830144203250252</v>
      </c>
      <c r="K130" s="3" t="b">
        <f t="shared" ref="K130:K193" si="14">IF(J130="","",J130&lt;=50%)</f>
        <v>0</v>
      </c>
      <c r="L130" s="3" t="b">
        <f t="shared" ref="L130:L193" si="15">H130&gt;=700</f>
        <v>0</v>
      </c>
      <c r="M130" s="3" t="str">
        <f t="shared" ref="M130:M193" si="16">IF(AND(K130,L130),"Eligible","Not Eligible")</f>
        <v>Not Eligible</v>
      </c>
      <c r="N130" s="3" t="str">
        <f t="shared" ref="N130:N193" si="17">IF(M130="Eligible","",IF(AND(NOT(K130),NOT(L130)),"FOIR exceeds 50% and credit score below 700",IF(NOT(K130),"FOIR exceeds 50%","Credit score below 700")))</f>
        <v>FOIR exceeds 50% and credit score below 700</v>
      </c>
      <c r="O130" s="3" t="s">
        <v>85</v>
      </c>
    </row>
    <row r="131" customHeight="1" spans="1:15">
      <c r="A131" s="3" t="s">
        <v>362</v>
      </c>
      <c r="B131" s="3" t="s">
        <v>361</v>
      </c>
      <c r="C131" s="10">
        <v>39943</v>
      </c>
      <c r="D131" s="10">
        <v>655</v>
      </c>
      <c r="E131" s="10">
        <v>1530000</v>
      </c>
      <c r="F131" s="10">
        <v>60</v>
      </c>
      <c r="G131" s="16">
        <v>14.53</v>
      </c>
      <c r="H131" s="10">
        <v>667</v>
      </c>
      <c r="I131" s="10">
        <f t="shared" si="12"/>
        <v>36022.2196910647</v>
      </c>
      <c r="J131" s="12">
        <f t="shared" si="13"/>
        <v>0.918238982827146</v>
      </c>
      <c r="K131" s="3" t="b">
        <f t="shared" si="14"/>
        <v>0</v>
      </c>
      <c r="L131" s="3" t="b">
        <f t="shared" si="15"/>
        <v>0</v>
      </c>
      <c r="M131" s="3" t="str">
        <f t="shared" si="16"/>
        <v>Not Eligible</v>
      </c>
      <c r="N131" s="3" t="str">
        <f t="shared" si="17"/>
        <v>FOIR exceeds 50% and credit score below 700</v>
      </c>
      <c r="O131" s="3" t="s">
        <v>85</v>
      </c>
    </row>
    <row r="132" customHeight="1" spans="1:15">
      <c r="A132" s="3" t="s">
        <v>363</v>
      </c>
      <c r="B132" s="3" t="s">
        <v>364</v>
      </c>
      <c r="C132" s="10">
        <v>96606</v>
      </c>
      <c r="D132" s="10">
        <v>0</v>
      </c>
      <c r="E132" s="10">
        <v>1850000</v>
      </c>
      <c r="F132" s="10">
        <v>60</v>
      </c>
      <c r="G132" s="16">
        <v>13.75</v>
      </c>
      <c r="H132" s="10">
        <v>746</v>
      </c>
      <c r="I132" s="10">
        <f t="shared" si="12"/>
        <v>42806.8629735797</v>
      </c>
      <c r="J132" s="12">
        <f t="shared" si="13"/>
        <v>0.443107705252052</v>
      </c>
      <c r="K132" s="3" t="b">
        <f t="shared" si="14"/>
        <v>1</v>
      </c>
      <c r="L132" s="3" t="b">
        <f t="shared" si="15"/>
        <v>1</v>
      </c>
      <c r="M132" s="3" t="str">
        <f t="shared" si="16"/>
        <v>Eligible</v>
      </c>
      <c r="N132" s="3" t="str">
        <f t="shared" si="17"/>
        <v/>
      </c>
      <c r="O132" s="3" t="s">
        <v>85</v>
      </c>
    </row>
    <row r="133" customHeight="1" spans="1:15">
      <c r="A133" s="3" t="s">
        <v>365</v>
      </c>
      <c r="B133" s="3" t="s">
        <v>366</v>
      </c>
      <c r="C133" s="10">
        <v>40642</v>
      </c>
      <c r="D133" s="10">
        <v>0</v>
      </c>
      <c r="E133" s="10">
        <v>820000</v>
      </c>
      <c r="F133" s="10">
        <v>84</v>
      </c>
      <c r="G133" s="16">
        <v>10.3</v>
      </c>
      <c r="H133" s="10">
        <v>688</v>
      </c>
      <c r="I133" s="10">
        <f t="shared" si="12"/>
        <v>13740.415184658</v>
      </c>
      <c r="J133" s="12">
        <f t="shared" si="13"/>
        <v>0.338084129340536</v>
      </c>
      <c r="K133" s="3" t="b">
        <f t="shared" si="14"/>
        <v>1</v>
      </c>
      <c r="L133" s="3" t="b">
        <f t="shared" si="15"/>
        <v>0</v>
      </c>
      <c r="M133" s="3" t="str">
        <f t="shared" si="16"/>
        <v>Not Eligible</v>
      </c>
      <c r="N133" s="3" t="str">
        <f t="shared" si="17"/>
        <v>Credit score below 700</v>
      </c>
      <c r="O133" s="3" t="s">
        <v>85</v>
      </c>
    </row>
    <row r="134" customHeight="1" spans="1:15">
      <c r="A134" s="3" t="s">
        <v>367</v>
      </c>
      <c r="B134" s="3" t="s">
        <v>368</v>
      </c>
      <c r="C134" s="10">
        <v>61436</v>
      </c>
      <c r="D134" s="10">
        <v>0</v>
      </c>
      <c r="E134" s="10">
        <v>1720000</v>
      </c>
      <c r="F134" s="10">
        <v>60</v>
      </c>
      <c r="G134" s="16">
        <v>13.7</v>
      </c>
      <c r="H134" s="10">
        <v>686</v>
      </c>
      <c r="I134" s="10">
        <f t="shared" si="12"/>
        <v>39754.3814738691</v>
      </c>
      <c r="J134" s="12">
        <f t="shared" si="13"/>
        <v>0.647086097302381</v>
      </c>
      <c r="K134" s="3" t="b">
        <f t="shared" si="14"/>
        <v>0</v>
      </c>
      <c r="L134" s="3" t="b">
        <f t="shared" si="15"/>
        <v>0</v>
      </c>
      <c r="M134" s="3" t="str">
        <f t="shared" si="16"/>
        <v>Not Eligible</v>
      </c>
      <c r="N134" s="3" t="str">
        <f t="shared" si="17"/>
        <v>FOIR exceeds 50% and credit score below 700</v>
      </c>
      <c r="O134" s="3" t="s">
        <v>85</v>
      </c>
    </row>
    <row r="135" customHeight="1" spans="1:15">
      <c r="A135" s="3" t="s">
        <v>369</v>
      </c>
      <c r="B135" s="3" t="s">
        <v>370</v>
      </c>
      <c r="C135" s="10">
        <v>74289</v>
      </c>
      <c r="D135" s="10">
        <v>22482</v>
      </c>
      <c r="E135" s="10">
        <v>1040000</v>
      </c>
      <c r="F135" s="10">
        <v>60</v>
      </c>
      <c r="G135" s="16">
        <v>14.73</v>
      </c>
      <c r="H135" s="10">
        <v>696</v>
      </c>
      <c r="I135" s="10">
        <f t="shared" si="12"/>
        <v>24594.3765372429</v>
      </c>
      <c r="J135" s="12">
        <f t="shared" si="13"/>
        <v>0.633692424682563</v>
      </c>
      <c r="K135" s="3" t="b">
        <f t="shared" si="14"/>
        <v>0</v>
      </c>
      <c r="L135" s="3" t="b">
        <f t="shared" si="15"/>
        <v>0</v>
      </c>
      <c r="M135" s="3" t="str">
        <f t="shared" si="16"/>
        <v>Not Eligible</v>
      </c>
      <c r="N135" s="3" t="str">
        <f t="shared" si="17"/>
        <v>FOIR exceeds 50% and credit score below 700</v>
      </c>
      <c r="O135" s="3" t="s">
        <v>85</v>
      </c>
    </row>
    <row r="136" customHeight="1" spans="1:15">
      <c r="A136" s="3" t="s">
        <v>371</v>
      </c>
      <c r="B136" s="3" t="s">
        <v>372</v>
      </c>
      <c r="C136" s="10">
        <v>94725</v>
      </c>
      <c r="D136" s="10">
        <v>38061</v>
      </c>
      <c r="E136" s="10">
        <v>1350000</v>
      </c>
      <c r="F136" s="10">
        <v>60</v>
      </c>
      <c r="G136" s="16">
        <v>14.31</v>
      </c>
      <c r="H136" s="10">
        <v>739</v>
      </c>
      <c r="I136" s="10">
        <f t="shared" si="12"/>
        <v>31629.5260273233</v>
      </c>
      <c r="J136" s="12">
        <f t="shared" si="13"/>
        <v>0.735714183450232</v>
      </c>
      <c r="K136" s="3" t="b">
        <f t="shared" si="14"/>
        <v>0</v>
      </c>
      <c r="L136" s="3" t="b">
        <f t="shared" si="15"/>
        <v>1</v>
      </c>
      <c r="M136" s="3" t="str">
        <f t="shared" si="16"/>
        <v>Not Eligible</v>
      </c>
      <c r="N136" s="3" t="str">
        <f t="shared" si="17"/>
        <v>FOIR exceeds 50%</v>
      </c>
      <c r="O136" s="3" t="s">
        <v>85</v>
      </c>
    </row>
    <row r="137" customHeight="1" spans="1:15">
      <c r="A137" s="3" t="s">
        <v>373</v>
      </c>
      <c r="B137" s="3" t="s">
        <v>374</v>
      </c>
      <c r="C137" s="10">
        <v>91822</v>
      </c>
      <c r="D137" s="10">
        <v>0</v>
      </c>
      <c r="E137" s="10">
        <v>480000</v>
      </c>
      <c r="F137" s="10">
        <v>48</v>
      </c>
      <c r="G137" s="16">
        <v>12.14</v>
      </c>
      <c r="H137" s="10">
        <v>783</v>
      </c>
      <c r="I137" s="10">
        <f t="shared" si="12"/>
        <v>12673.2607593126</v>
      </c>
      <c r="J137" s="12">
        <f t="shared" si="13"/>
        <v>0.138019872789882</v>
      </c>
      <c r="K137" s="3" t="b">
        <f t="shared" si="14"/>
        <v>1</v>
      </c>
      <c r="L137" s="3" t="b">
        <f t="shared" si="15"/>
        <v>1</v>
      </c>
      <c r="M137" s="3" t="str">
        <f t="shared" si="16"/>
        <v>Eligible</v>
      </c>
      <c r="N137" s="3" t="str">
        <f t="shared" si="17"/>
        <v/>
      </c>
      <c r="O137" s="3" t="s">
        <v>85</v>
      </c>
    </row>
    <row r="138" customHeight="1" spans="1:15">
      <c r="A138" s="3" t="s">
        <v>375</v>
      </c>
      <c r="B138" s="3" t="s">
        <v>376</v>
      </c>
      <c r="C138" s="10">
        <v>57608</v>
      </c>
      <c r="D138" s="10">
        <v>0</v>
      </c>
      <c r="E138" s="10">
        <v>440000</v>
      </c>
      <c r="F138" s="10">
        <v>36</v>
      </c>
      <c r="G138" s="16">
        <v>14.34</v>
      </c>
      <c r="H138" s="10">
        <v>724</v>
      </c>
      <c r="I138" s="10">
        <f t="shared" si="12"/>
        <v>15110.9186472035</v>
      </c>
      <c r="J138" s="12">
        <f t="shared" si="13"/>
        <v>0.262305906249193</v>
      </c>
      <c r="K138" s="3" t="b">
        <f t="shared" si="14"/>
        <v>1</v>
      </c>
      <c r="L138" s="3" t="b">
        <f t="shared" si="15"/>
        <v>1</v>
      </c>
      <c r="M138" s="3" t="str">
        <f t="shared" si="16"/>
        <v>Eligible</v>
      </c>
      <c r="N138" s="3" t="str">
        <f t="shared" si="17"/>
        <v/>
      </c>
      <c r="O138" s="3" t="s">
        <v>85</v>
      </c>
    </row>
    <row r="139" customHeight="1" spans="1:15">
      <c r="A139" s="3" t="s">
        <v>377</v>
      </c>
      <c r="B139" s="3" t="s">
        <v>378</v>
      </c>
      <c r="C139" s="10">
        <v>35847</v>
      </c>
      <c r="D139" s="10">
        <v>13384</v>
      </c>
      <c r="E139" s="10">
        <v>1470000</v>
      </c>
      <c r="F139" s="10">
        <v>240</v>
      </c>
      <c r="G139" s="16">
        <v>9.34</v>
      </c>
      <c r="H139" s="10">
        <v>813</v>
      </c>
      <c r="I139" s="10">
        <f t="shared" si="12"/>
        <v>13549.1059799085</v>
      </c>
      <c r="J139" s="12">
        <f t="shared" si="13"/>
        <v>0.751335006553086</v>
      </c>
      <c r="K139" s="3" t="b">
        <f t="shared" si="14"/>
        <v>0</v>
      </c>
      <c r="L139" s="3" t="b">
        <f t="shared" si="15"/>
        <v>1</v>
      </c>
      <c r="M139" s="3" t="str">
        <f t="shared" si="16"/>
        <v>Not Eligible</v>
      </c>
      <c r="N139" s="3" t="str">
        <f t="shared" si="17"/>
        <v>FOIR exceeds 50%</v>
      </c>
      <c r="O139" s="3" t="s">
        <v>85</v>
      </c>
    </row>
    <row r="140" customHeight="1" spans="1:15">
      <c r="A140" s="3" t="s">
        <v>379</v>
      </c>
      <c r="B140" s="3" t="s">
        <v>380</v>
      </c>
      <c r="C140" s="10">
        <v>77444</v>
      </c>
      <c r="D140" s="10">
        <v>0</v>
      </c>
      <c r="E140" s="10">
        <v>840000</v>
      </c>
      <c r="F140" s="10">
        <v>60</v>
      </c>
      <c r="G140" s="16">
        <v>15.15</v>
      </c>
      <c r="H140" s="10">
        <v>750</v>
      </c>
      <c r="I140" s="10">
        <f t="shared" si="12"/>
        <v>20049.7411284069</v>
      </c>
      <c r="J140" s="12">
        <f t="shared" si="13"/>
        <v>0.258893408506881</v>
      </c>
      <c r="K140" s="3" t="b">
        <f t="shared" si="14"/>
        <v>1</v>
      </c>
      <c r="L140" s="3" t="b">
        <f t="shared" si="15"/>
        <v>1</v>
      </c>
      <c r="M140" s="3" t="str">
        <f t="shared" si="16"/>
        <v>Eligible</v>
      </c>
      <c r="N140" s="3" t="str">
        <f t="shared" si="17"/>
        <v/>
      </c>
      <c r="O140" s="3" t="s">
        <v>85</v>
      </c>
    </row>
    <row r="141" customHeight="1" spans="1:15">
      <c r="A141" s="3" t="s">
        <v>381</v>
      </c>
      <c r="B141" s="3" t="s">
        <v>382</v>
      </c>
      <c r="C141" s="10">
        <v>25861</v>
      </c>
      <c r="D141" s="10">
        <v>0</v>
      </c>
      <c r="E141" s="10">
        <v>1340000</v>
      </c>
      <c r="F141" s="10">
        <v>84</v>
      </c>
      <c r="G141" s="16">
        <v>10.66</v>
      </c>
      <c r="H141" s="10">
        <v>712</v>
      </c>
      <c r="I141" s="10">
        <f t="shared" si="12"/>
        <v>22705.2153874612</v>
      </c>
      <c r="J141" s="12">
        <f t="shared" si="13"/>
        <v>0.87797128446159</v>
      </c>
      <c r="K141" s="3" t="b">
        <f t="shared" si="14"/>
        <v>0</v>
      </c>
      <c r="L141" s="3" t="b">
        <f t="shared" si="15"/>
        <v>1</v>
      </c>
      <c r="M141" s="3" t="str">
        <f t="shared" si="16"/>
        <v>Not Eligible</v>
      </c>
      <c r="N141" s="3" t="str">
        <f t="shared" si="17"/>
        <v>FOIR exceeds 50%</v>
      </c>
      <c r="O141" s="3" t="s">
        <v>85</v>
      </c>
    </row>
    <row r="142" customHeight="1" spans="1:15">
      <c r="A142" s="3" t="s">
        <v>383</v>
      </c>
      <c r="B142" s="3" t="s">
        <v>384</v>
      </c>
      <c r="C142" s="10">
        <v>46466</v>
      </c>
      <c r="D142" s="10">
        <v>1045</v>
      </c>
      <c r="E142" s="10">
        <v>3340000</v>
      </c>
      <c r="F142" s="10">
        <v>240</v>
      </c>
      <c r="G142" s="16">
        <v>9.57</v>
      </c>
      <c r="H142" s="10">
        <v>653</v>
      </c>
      <c r="I142" s="10">
        <f t="shared" si="12"/>
        <v>31286.0151008572</v>
      </c>
      <c r="J142" s="12">
        <f t="shared" si="13"/>
        <v>0.695799403883639</v>
      </c>
      <c r="K142" s="3" t="b">
        <f t="shared" si="14"/>
        <v>0</v>
      </c>
      <c r="L142" s="3" t="b">
        <f t="shared" si="15"/>
        <v>0</v>
      </c>
      <c r="M142" s="3" t="str">
        <f t="shared" si="16"/>
        <v>Not Eligible</v>
      </c>
      <c r="N142" s="3" t="str">
        <f t="shared" si="17"/>
        <v>FOIR exceeds 50% and credit score below 700</v>
      </c>
      <c r="O142" s="3" t="s">
        <v>91</v>
      </c>
    </row>
    <row r="143" customHeight="1" spans="1:15">
      <c r="A143" s="3" t="s">
        <v>385</v>
      </c>
      <c r="B143" s="3" t="s">
        <v>386</v>
      </c>
      <c r="C143" s="10">
        <v>104822</v>
      </c>
      <c r="D143" s="10">
        <v>0</v>
      </c>
      <c r="E143" s="10">
        <v>270000</v>
      </c>
      <c r="F143" s="10">
        <v>36</v>
      </c>
      <c r="G143" s="16">
        <v>14.39</v>
      </c>
      <c r="H143" s="10">
        <v>631</v>
      </c>
      <c r="I143" s="10">
        <f t="shared" si="12"/>
        <v>9279.18579497414</v>
      </c>
      <c r="J143" s="12">
        <f t="shared" si="13"/>
        <v>0.0885232660603131</v>
      </c>
      <c r="K143" s="3" t="b">
        <f t="shared" si="14"/>
        <v>1</v>
      </c>
      <c r="L143" s="3" t="b">
        <f t="shared" si="15"/>
        <v>0</v>
      </c>
      <c r="M143" s="3" t="str">
        <f t="shared" si="16"/>
        <v>Not Eligible</v>
      </c>
      <c r="N143" s="3" t="str">
        <f t="shared" si="17"/>
        <v>Credit score below 700</v>
      </c>
      <c r="O143" s="3" t="s">
        <v>85</v>
      </c>
    </row>
    <row r="144" customHeight="1" spans="1:15">
      <c r="A144" s="3" t="s">
        <v>387</v>
      </c>
      <c r="B144" s="3" t="s">
        <v>388</v>
      </c>
      <c r="C144" s="10">
        <v>19647</v>
      </c>
      <c r="D144" s="10">
        <v>0</v>
      </c>
      <c r="E144" s="10">
        <v>490000</v>
      </c>
      <c r="F144" s="10">
        <v>84</v>
      </c>
      <c r="G144" s="16">
        <v>10.22</v>
      </c>
      <c r="H144" s="10">
        <v>637</v>
      </c>
      <c r="I144" s="10">
        <f t="shared" si="12"/>
        <v>8190.3883399991</v>
      </c>
      <c r="J144" s="12">
        <f t="shared" si="13"/>
        <v>0.41687730136912</v>
      </c>
      <c r="K144" s="3" t="b">
        <f t="shared" si="14"/>
        <v>1</v>
      </c>
      <c r="L144" s="3" t="b">
        <f t="shared" si="15"/>
        <v>0</v>
      </c>
      <c r="M144" s="3" t="str">
        <f t="shared" si="16"/>
        <v>Not Eligible</v>
      </c>
      <c r="N144" s="3" t="str">
        <f t="shared" si="17"/>
        <v>Credit score below 700</v>
      </c>
      <c r="O144" s="3" t="s">
        <v>85</v>
      </c>
    </row>
    <row r="145" customHeight="1" spans="1:15">
      <c r="A145" s="3" t="s">
        <v>389</v>
      </c>
      <c r="B145" s="3" t="s">
        <v>390</v>
      </c>
      <c r="C145" s="10">
        <v>46566</v>
      </c>
      <c r="D145" s="10">
        <v>16409</v>
      </c>
      <c r="E145" s="10">
        <v>220000</v>
      </c>
      <c r="F145" s="10">
        <v>36</v>
      </c>
      <c r="G145" s="16">
        <v>14.38</v>
      </c>
      <c r="H145" s="10">
        <v>753</v>
      </c>
      <c r="I145" s="10">
        <f t="shared" si="12"/>
        <v>7559.74613217006</v>
      </c>
      <c r="J145" s="12">
        <f t="shared" si="13"/>
        <v>0.514726326765667</v>
      </c>
      <c r="K145" s="3" t="b">
        <f t="shared" si="14"/>
        <v>0</v>
      </c>
      <c r="L145" s="3" t="b">
        <f t="shared" si="15"/>
        <v>1</v>
      </c>
      <c r="M145" s="3" t="str">
        <f t="shared" si="16"/>
        <v>Not Eligible</v>
      </c>
      <c r="N145" s="3" t="str">
        <f t="shared" si="17"/>
        <v>FOIR exceeds 50%</v>
      </c>
      <c r="O145" s="3" t="s">
        <v>85</v>
      </c>
    </row>
    <row r="146" customHeight="1" spans="1:15">
      <c r="A146" s="3" t="s">
        <v>391</v>
      </c>
      <c r="B146" s="3" t="s">
        <v>392</v>
      </c>
      <c r="C146" s="10">
        <v>54697</v>
      </c>
      <c r="D146" s="10">
        <v>0</v>
      </c>
      <c r="E146" s="10">
        <v>260000</v>
      </c>
      <c r="F146" s="10">
        <v>48</v>
      </c>
      <c r="G146" s="16">
        <v>11.96</v>
      </c>
      <c r="H146" s="10">
        <v>658</v>
      </c>
      <c r="I146" s="10">
        <f t="shared" si="12"/>
        <v>6841.69201726144</v>
      </c>
      <c r="J146" s="12">
        <f t="shared" si="13"/>
        <v>0.125083496668217</v>
      </c>
      <c r="K146" s="3" t="b">
        <f t="shared" si="14"/>
        <v>1</v>
      </c>
      <c r="L146" s="3" t="b">
        <f t="shared" si="15"/>
        <v>0</v>
      </c>
      <c r="M146" s="3" t="str">
        <f t="shared" si="16"/>
        <v>Not Eligible</v>
      </c>
      <c r="N146" s="3" t="str">
        <f t="shared" si="17"/>
        <v>Credit score below 700</v>
      </c>
      <c r="O146" s="3" t="s">
        <v>85</v>
      </c>
    </row>
    <row r="147" customHeight="1" spans="1:15">
      <c r="A147" s="3" t="s">
        <v>393</v>
      </c>
      <c r="B147" s="3" t="s">
        <v>154</v>
      </c>
      <c r="C147" s="10">
        <v>66094</v>
      </c>
      <c r="D147" s="10">
        <v>22811</v>
      </c>
      <c r="E147" s="10">
        <v>1260000</v>
      </c>
      <c r="F147" s="10">
        <v>60</v>
      </c>
      <c r="G147" s="16">
        <v>14.83</v>
      </c>
      <c r="H147" s="10">
        <v>775</v>
      </c>
      <c r="I147" s="10">
        <f t="shared" si="12"/>
        <v>29862.9931522026</v>
      </c>
      <c r="J147" s="12">
        <f t="shared" si="13"/>
        <v>0.796955747151067</v>
      </c>
      <c r="K147" s="3" t="b">
        <f t="shared" si="14"/>
        <v>0</v>
      </c>
      <c r="L147" s="3" t="b">
        <f t="shared" si="15"/>
        <v>1</v>
      </c>
      <c r="M147" s="3" t="str">
        <f t="shared" si="16"/>
        <v>Not Eligible</v>
      </c>
      <c r="N147" s="3" t="str">
        <f t="shared" si="17"/>
        <v>FOIR exceeds 50%</v>
      </c>
      <c r="O147" s="3" t="s">
        <v>85</v>
      </c>
    </row>
    <row r="148" customHeight="1" spans="1:15">
      <c r="A148" s="3" t="s">
        <v>394</v>
      </c>
      <c r="B148" s="3" t="s">
        <v>395</v>
      </c>
      <c r="C148" s="10">
        <v>25399</v>
      </c>
      <c r="D148" s="10">
        <v>7136</v>
      </c>
      <c r="E148" s="10">
        <v>1360000</v>
      </c>
      <c r="F148" s="10">
        <v>60</v>
      </c>
      <c r="G148" s="16">
        <v>15.02</v>
      </c>
      <c r="H148" s="10">
        <v>788</v>
      </c>
      <c r="I148" s="10">
        <f t="shared" si="12"/>
        <v>32368.5842854252</v>
      </c>
      <c r="J148" s="12">
        <f t="shared" si="13"/>
        <v>1.5553598285533</v>
      </c>
      <c r="K148" s="3" t="b">
        <f t="shared" si="14"/>
        <v>0</v>
      </c>
      <c r="L148" s="3" t="b">
        <f t="shared" si="15"/>
        <v>1</v>
      </c>
      <c r="M148" s="3" t="str">
        <f t="shared" si="16"/>
        <v>Not Eligible</v>
      </c>
      <c r="N148" s="3" t="str">
        <f t="shared" si="17"/>
        <v>FOIR exceeds 50%</v>
      </c>
      <c r="O148" s="3" t="s">
        <v>85</v>
      </c>
    </row>
    <row r="149" customHeight="1" spans="1:15">
      <c r="A149" s="3" t="s">
        <v>396</v>
      </c>
      <c r="B149" s="3" t="s">
        <v>397</v>
      </c>
      <c r="C149" s="10">
        <v>38925</v>
      </c>
      <c r="D149" s="10">
        <v>8249</v>
      </c>
      <c r="E149" s="10">
        <v>840000</v>
      </c>
      <c r="F149" s="10">
        <v>60</v>
      </c>
      <c r="G149" s="16">
        <v>9.9</v>
      </c>
      <c r="H149" s="10">
        <v>678</v>
      </c>
      <c r="I149" s="10">
        <f t="shared" si="12"/>
        <v>17806.2142317077</v>
      </c>
      <c r="J149" s="12">
        <f t="shared" si="13"/>
        <v>0.66936966555447</v>
      </c>
      <c r="K149" s="3" t="b">
        <f t="shared" si="14"/>
        <v>0</v>
      </c>
      <c r="L149" s="3" t="b">
        <f t="shared" si="15"/>
        <v>0</v>
      </c>
      <c r="M149" s="3" t="str">
        <f t="shared" si="16"/>
        <v>Not Eligible</v>
      </c>
      <c r="N149" s="3" t="str">
        <f t="shared" si="17"/>
        <v>FOIR exceeds 50% and credit score below 700</v>
      </c>
      <c r="O149" s="3" t="s">
        <v>85</v>
      </c>
    </row>
    <row r="150" customHeight="1" spans="1:15">
      <c r="A150" s="3" t="s">
        <v>398</v>
      </c>
      <c r="B150" s="3" t="s">
        <v>399</v>
      </c>
      <c r="C150" s="10">
        <v>95276</v>
      </c>
      <c r="D150" s="10">
        <v>24230</v>
      </c>
      <c r="E150" s="10">
        <v>300000</v>
      </c>
      <c r="F150" s="10">
        <v>36</v>
      </c>
      <c r="G150" s="16">
        <v>13.96</v>
      </c>
      <c r="H150" s="10">
        <v>748</v>
      </c>
      <c r="I150" s="10">
        <f t="shared" si="12"/>
        <v>10247.4616037181</v>
      </c>
      <c r="J150" s="12">
        <f t="shared" si="13"/>
        <v>0.361869322848546</v>
      </c>
      <c r="K150" s="3" t="b">
        <f t="shared" si="14"/>
        <v>1</v>
      </c>
      <c r="L150" s="3" t="b">
        <f t="shared" si="15"/>
        <v>1</v>
      </c>
      <c r="M150" s="3" t="str">
        <f t="shared" si="16"/>
        <v>Eligible</v>
      </c>
      <c r="N150" s="3" t="str">
        <f t="shared" si="17"/>
        <v/>
      </c>
      <c r="O150" s="3" t="s">
        <v>85</v>
      </c>
    </row>
    <row r="151" customHeight="1" spans="1:15">
      <c r="A151" s="3" t="s">
        <v>400</v>
      </c>
      <c r="B151" s="3" t="s">
        <v>186</v>
      </c>
      <c r="C151" s="10">
        <v>169491</v>
      </c>
      <c r="D151" s="10">
        <v>25744</v>
      </c>
      <c r="E151" s="10">
        <v>640000</v>
      </c>
      <c r="F151" s="10">
        <v>60</v>
      </c>
      <c r="G151" s="16">
        <v>9.65</v>
      </c>
      <c r="H151" s="10">
        <v>697</v>
      </c>
      <c r="I151" s="10">
        <f t="shared" si="12"/>
        <v>13488.1538803721</v>
      </c>
      <c r="J151" s="12">
        <f t="shared" si="13"/>
        <v>0.231470425452514</v>
      </c>
      <c r="K151" s="3" t="b">
        <f t="shared" si="14"/>
        <v>1</v>
      </c>
      <c r="L151" s="3" t="b">
        <f t="shared" si="15"/>
        <v>0</v>
      </c>
      <c r="M151" s="3" t="str">
        <f t="shared" si="16"/>
        <v>Not Eligible</v>
      </c>
      <c r="N151" s="3" t="str">
        <f t="shared" si="17"/>
        <v>Credit score below 700</v>
      </c>
      <c r="O151" s="3" t="s">
        <v>85</v>
      </c>
    </row>
    <row r="152" customHeight="1" spans="1:15">
      <c r="A152" s="3" t="s">
        <v>401</v>
      </c>
      <c r="B152" s="3" t="s">
        <v>402</v>
      </c>
      <c r="C152" s="10">
        <v>134902</v>
      </c>
      <c r="D152" s="10">
        <v>0</v>
      </c>
      <c r="E152" s="10">
        <v>1360000</v>
      </c>
      <c r="F152" s="10">
        <v>60</v>
      </c>
      <c r="G152" s="16">
        <v>15.15</v>
      </c>
      <c r="H152" s="10">
        <v>753</v>
      </c>
      <c r="I152" s="10">
        <f t="shared" si="12"/>
        <v>32461.4856364682</v>
      </c>
      <c r="J152" s="12">
        <f t="shared" si="13"/>
        <v>0.240630128808085</v>
      </c>
      <c r="K152" s="3" t="b">
        <f t="shared" si="14"/>
        <v>1</v>
      </c>
      <c r="L152" s="3" t="b">
        <f t="shared" si="15"/>
        <v>1</v>
      </c>
      <c r="M152" s="3" t="str">
        <f t="shared" si="16"/>
        <v>Eligible</v>
      </c>
      <c r="N152" s="3" t="str">
        <f t="shared" si="17"/>
        <v/>
      </c>
      <c r="O152" s="3" t="s">
        <v>85</v>
      </c>
    </row>
    <row r="153" customHeight="1" spans="1:15">
      <c r="A153" s="3" t="s">
        <v>403</v>
      </c>
      <c r="B153" s="3" t="s">
        <v>404</v>
      </c>
      <c r="C153" s="10">
        <v>60543</v>
      </c>
      <c r="D153" s="10">
        <v>0</v>
      </c>
      <c r="E153" s="10">
        <v>1170000</v>
      </c>
      <c r="F153" s="10">
        <v>84</v>
      </c>
      <c r="G153" s="16">
        <v>10.49</v>
      </c>
      <c r="H153" s="10">
        <v>779</v>
      </c>
      <c r="I153" s="10">
        <f t="shared" si="12"/>
        <v>19720.8894129318</v>
      </c>
      <c r="J153" s="12">
        <f t="shared" si="13"/>
        <v>0.325733601125345</v>
      </c>
      <c r="K153" s="3" t="b">
        <f t="shared" si="14"/>
        <v>1</v>
      </c>
      <c r="L153" s="3" t="b">
        <f t="shared" si="15"/>
        <v>1</v>
      </c>
      <c r="M153" s="3" t="str">
        <f t="shared" si="16"/>
        <v>Eligible</v>
      </c>
      <c r="N153" s="3" t="str">
        <f t="shared" si="17"/>
        <v/>
      </c>
      <c r="O153" s="3" t="s">
        <v>85</v>
      </c>
    </row>
    <row r="154" customHeight="1" spans="1:15">
      <c r="A154" s="3" t="s">
        <v>405</v>
      </c>
      <c r="B154" s="3" t="s">
        <v>406</v>
      </c>
      <c r="C154" s="10">
        <v>65368</v>
      </c>
      <c r="D154" s="10">
        <v>3212</v>
      </c>
      <c r="E154" s="10">
        <v>620000</v>
      </c>
      <c r="F154" s="10">
        <v>48</v>
      </c>
      <c r="G154" s="16">
        <v>11.23</v>
      </c>
      <c r="H154" s="10">
        <v>776</v>
      </c>
      <c r="I154" s="10">
        <f t="shared" si="12"/>
        <v>16093.5629790743</v>
      </c>
      <c r="J154" s="12">
        <f t="shared" si="13"/>
        <v>0.295336601686977</v>
      </c>
      <c r="K154" s="3" t="b">
        <f t="shared" si="14"/>
        <v>1</v>
      </c>
      <c r="L154" s="3" t="b">
        <f t="shared" si="15"/>
        <v>1</v>
      </c>
      <c r="M154" s="3" t="str">
        <f t="shared" si="16"/>
        <v>Eligible</v>
      </c>
      <c r="N154" s="3" t="str">
        <f t="shared" si="17"/>
        <v/>
      </c>
      <c r="O154" s="3" t="s">
        <v>85</v>
      </c>
    </row>
    <row r="155" customHeight="1" spans="1:15">
      <c r="A155" s="3" t="s">
        <v>407</v>
      </c>
      <c r="B155" s="3" t="s">
        <v>408</v>
      </c>
      <c r="C155" s="10">
        <v>85168</v>
      </c>
      <c r="D155" s="10">
        <v>0</v>
      </c>
      <c r="E155" s="10">
        <v>140000</v>
      </c>
      <c r="F155" s="10">
        <v>36</v>
      </c>
      <c r="G155" s="16">
        <v>14.1</v>
      </c>
      <c r="H155" s="10">
        <v>713</v>
      </c>
      <c r="I155" s="10">
        <f t="shared" si="12"/>
        <v>4791.67065075908</v>
      </c>
      <c r="J155" s="12">
        <f t="shared" si="13"/>
        <v>0.0562613968950671</v>
      </c>
      <c r="K155" s="3" t="b">
        <f t="shared" si="14"/>
        <v>1</v>
      </c>
      <c r="L155" s="3" t="b">
        <f t="shared" si="15"/>
        <v>1</v>
      </c>
      <c r="M155" s="3" t="str">
        <f t="shared" si="16"/>
        <v>Eligible</v>
      </c>
      <c r="N155" s="3" t="str">
        <f t="shared" si="17"/>
        <v/>
      </c>
      <c r="O155" s="3" t="s">
        <v>85</v>
      </c>
    </row>
    <row r="156" customHeight="1" spans="1:15">
      <c r="A156" s="3" t="s">
        <v>409</v>
      </c>
      <c r="B156" s="3" t="s">
        <v>410</v>
      </c>
      <c r="C156" s="10">
        <v>171875</v>
      </c>
      <c r="D156" s="10">
        <v>67800</v>
      </c>
      <c r="E156" s="10">
        <v>780000</v>
      </c>
      <c r="F156" s="10">
        <v>60</v>
      </c>
      <c r="G156" s="16">
        <v>14.68</v>
      </c>
      <c r="H156" s="10">
        <v>682</v>
      </c>
      <c r="I156" s="10">
        <f t="shared" si="12"/>
        <v>18425.3851010174</v>
      </c>
      <c r="J156" s="12">
        <f t="shared" si="13"/>
        <v>0.501674967860465</v>
      </c>
      <c r="K156" s="3" t="b">
        <f t="shared" si="14"/>
        <v>0</v>
      </c>
      <c r="L156" s="3" t="b">
        <f t="shared" si="15"/>
        <v>0</v>
      </c>
      <c r="M156" s="3" t="str">
        <f t="shared" si="16"/>
        <v>Not Eligible</v>
      </c>
      <c r="N156" s="3" t="str">
        <f t="shared" si="17"/>
        <v>FOIR exceeds 50% and credit score below 700</v>
      </c>
      <c r="O156" s="3" t="s">
        <v>85</v>
      </c>
    </row>
    <row r="157" customHeight="1" spans="1:15">
      <c r="A157" s="3" t="s">
        <v>411</v>
      </c>
      <c r="B157" s="3" t="s">
        <v>412</v>
      </c>
      <c r="C157" s="10">
        <v>56423</v>
      </c>
      <c r="D157" s="10">
        <v>0</v>
      </c>
      <c r="E157" s="10">
        <v>1410000</v>
      </c>
      <c r="F157" s="10">
        <v>84</v>
      </c>
      <c r="G157" s="16">
        <v>11.61</v>
      </c>
      <c r="H157" s="10">
        <v>728</v>
      </c>
      <c r="I157" s="10">
        <f t="shared" si="12"/>
        <v>24597.2360910638</v>
      </c>
      <c r="J157" s="12">
        <f t="shared" si="13"/>
        <v>0.435943428939684</v>
      </c>
      <c r="K157" s="3" t="b">
        <f t="shared" si="14"/>
        <v>1</v>
      </c>
      <c r="L157" s="3" t="b">
        <f t="shared" si="15"/>
        <v>1</v>
      </c>
      <c r="M157" s="3" t="str">
        <f t="shared" si="16"/>
        <v>Eligible</v>
      </c>
      <c r="N157" s="3" t="str">
        <f t="shared" si="17"/>
        <v/>
      </c>
      <c r="O157" s="3" t="s">
        <v>85</v>
      </c>
    </row>
    <row r="158" customHeight="1" spans="1:15">
      <c r="A158" s="3" t="s">
        <v>413</v>
      </c>
      <c r="B158" s="3" t="s">
        <v>414</v>
      </c>
      <c r="C158" s="10">
        <v>136372</v>
      </c>
      <c r="D158" s="10">
        <v>51243</v>
      </c>
      <c r="E158" s="10">
        <v>410000</v>
      </c>
      <c r="F158" s="10">
        <v>36</v>
      </c>
      <c r="G158" s="16">
        <v>14.02</v>
      </c>
      <c r="H158" s="10">
        <v>694</v>
      </c>
      <c r="I158" s="10">
        <f t="shared" si="12"/>
        <v>14016.811194513</v>
      </c>
      <c r="J158" s="12">
        <f t="shared" si="13"/>
        <v>0.478542598147076</v>
      </c>
      <c r="K158" s="3" t="b">
        <f t="shared" si="14"/>
        <v>1</v>
      </c>
      <c r="L158" s="3" t="b">
        <f t="shared" si="15"/>
        <v>0</v>
      </c>
      <c r="M158" s="3" t="str">
        <f t="shared" si="16"/>
        <v>Not Eligible</v>
      </c>
      <c r="N158" s="3" t="str">
        <f t="shared" si="17"/>
        <v>Credit score below 700</v>
      </c>
      <c r="O158" s="3" t="s">
        <v>85</v>
      </c>
    </row>
    <row r="159" customHeight="1" spans="1:15">
      <c r="A159" s="3" t="s">
        <v>415</v>
      </c>
      <c r="B159" s="3" t="s">
        <v>416</v>
      </c>
      <c r="C159" s="10">
        <v>60905</v>
      </c>
      <c r="D159" s="10">
        <v>0</v>
      </c>
      <c r="E159" s="10">
        <v>600000</v>
      </c>
      <c r="F159" s="10">
        <v>60</v>
      </c>
      <c r="G159" s="16">
        <v>10.56</v>
      </c>
      <c r="H159" s="10">
        <v>817</v>
      </c>
      <c r="I159" s="10">
        <f t="shared" si="12"/>
        <v>12914.1811125348</v>
      </c>
      <c r="J159" s="12">
        <f t="shared" si="13"/>
        <v>0.212038110377387</v>
      </c>
      <c r="K159" s="3" t="b">
        <f t="shared" si="14"/>
        <v>1</v>
      </c>
      <c r="L159" s="3" t="b">
        <f t="shared" si="15"/>
        <v>1</v>
      </c>
      <c r="M159" s="3" t="str">
        <f t="shared" si="16"/>
        <v>Eligible</v>
      </c>
      <c r="N159" s="3" t="str">
        <f t="shared" si="17"/>
        <v/>
      </c>
      <c r="O159" s="3" t="s">
        <v>85</v>
      </c>
    </row>
    <row r="160" customHeight="1" spans="1:15">
      <c r="A160" s="3" t="s">
        <v>417</v>
      </c>
      <c r="B160" s="3" t="s">
        <v>418</v>
      </c>
      <c r="C160" s="10">
        <v>59422</v>
      </c>
      <c r="D160" s="10">
        <v>7356</v>
      </c>
      <c r="E160" s="10">
        <v>330000</v>
      </c>
      <c r="F160" s="10">
        <v>36</v>
      </c>
      <c r="G160" s="16">
        <v>13.56</v>
      </c>
      <c r="H160" s="10">
        <v>740</v>
      </c>
      <c r="I160" s="10">
        <f t="shared" si="12"/>
        <v>11208.2240434936</v>
      </c>
      <c r="J160" s="12">
        <f t="shared" si="13"/>
        <v>0.312413315665808</v>
      </c>
      <c r="K160" s="3" t="b">
        <f t="shared" si="14"/>
        <v>1</v>
      </c>
      <c r="L160" s="3" t="b">
        <f t="shared" si="15"/>
        <v>1</v>
      </c>
      <c r="M160" s="3" t="str">
        <f t="shared" si="16"/>
        <v>Eligible</v>
      </c>
      <c r="N160" s="3" t="str">
        <f t="shared" si="17"/>
        <v/>
      </c>
      <c r="O160" s="3" t="s">
        <v>85</v>
      </c>
    </row>
    <row r="161" customHeight="1" spans="1:15">
      <c r="A161" s="3" t="s">
        <v>419</v>
      </c>
      <c r="B161" s="3" t="s">
        <v>420</v>
      </c>
      <c r="C161" s="10">
        <v>43347</v>
      </c>
      <c r="D161" s="10">
        <v>10419</v>
      </c>
      <c r="E161" s="10">
        <v>5130000</v>
      </c>
      <c r="F161" s="10">
        <v>240</v>
      </c>
      <c r="G161" s="16">
        <v>9.67</v>
      </c>
      <c r="H161" s="10">
        <v>769</v>
      </c>
      <c r="I161" s="10">
        <f t="shared" si="12"/>
        <v>48389.2571131767</v>
      </c>
      <c r="J161" s="12">
        <f t="shared" si="13"/>
        <v>1.3566857478759</v>
      </c>
      <c r="K161" s="3" t="b">
        <f t="shared" si="14"/>
        <v>0</v>
      </c>
      <c r="L161" s="3" t="b">
        <f t="shared" si="15"/>
        <v>1</v>
      </c>
      <c r="M161" s="3" t="str">
        <f t="shared" si="16"/>
        <v>Not Eligible</v>
      </c>
      <c r="N161" s="3" t="str">
        <f t="shared" si="17"/>
        <v>FOIR exceeds 50%</v>
      </c>
      <c r="O161" s="3" t="s">
        <v>91</v>
      </c>
    </row>
    <row r="162" customHeight="1" spans="1:15">
      <c r="A162" s="3" t="s">
        <v>421</v>
      </c>
      <c r="B162" s="3" t="s">
        <v>422</v>
      </c>
      <c r="C162" s="10">
        <v>56780</v>
      </c>
      <c r="D162" s="10">
        <v>0</v>
      </c>
      <c r="E162" s="10">
        <v>560000</v>
      </c>
      <c r="F162" s="10">
        <v>60</v>
      </c>
      <c r="G162" s="16">
        <v>13.99</v>
      </c>
      <c r="H162" s="10">
        <v>784</v>
      </c>
      <c r="I162" s="10">
        <f t="shared" si="12"/>
        <v>13027.3174091355</v>
      </c>
      <c r="J162" s="12">
        <f t="shared" si="13"/>
        <v>0.229434966698406</v>
      </c>
      <c r="K162" s="3" t="b">
        <f t="shared" si="14"/>
        <v>1</v>
      </c>
      <c r="L162" s="3" t="b">
        <f t="shared" si="15"/>
        <v>1</v>
      </c>
      <c r="M162" s="3" t="str">
        <f t="shared" si="16"/>
        <v>Eligible</v>
      </c>
      <c r="N162" s="3" t="str">
        <f t="shared" si="17"/>
        <v/>
      </c>
      <c r="O162" s="3" t="s">
        <v>85</v>
      </c>
    </row>
    <row r="163" customHeight="1" spans="1:15">
      <c r="A163" s="3" t="s">
        <v>423</v>
      </c>
      <c r="B163" s="3" t="s">
        <v>424</v>
      </c>
      <c r="C163" s="10">
        <v>72712</v>
      </c>
      <c r="D163" s="10">
        <v>0</v>
      </c>
      <c r="E163" s="10">
        <v>360000</v>
      </c>
      <c r="F163" s="10">
        <v>48</v>
      </c>
      <c r="G163" s="16">
        <v>11.73</v>
      </c>
      <c r="H163" s="10">
        <v>641</v>
      </c>
      <c r="I163" s="10">
        <f t="shared" si="12"/>
        <v>9432.52662535982</v>
      </c>
      <c r="J163" s="12">
        <f t="shared" si="13"/>
        <v>0.129724483240178</v>
      </c>
      <c r="K163" s="3" t="b">
        <f t="shared" si="14"/>
        <v>1</v>
      </c>
      <c r="L163" s="3" t="b">
        <f t="shared" si="15"/>
        <v>0</v>
      </c>
      <c r="M163" s="3" t="str">
        <f t="shared" si="16"/>
        <v>Not Eligible</v>
      </c>
      <c r="N163" s="3" t="str">
        <f t="shared" si="17"/>
        <v>Credit score below 700</v>
      </c>
      <c r="O163" s="3" t="s">
        <v>85</v>
      </c>
    </row>
    <row r="164" customHeight="1" spans="1:15">
      <c r="A164" s="3" t="s">
        <v>425</v>
      </c>
      <c r="B164" s="3" t="s">
        <v>426</v>
      </c>
      <c r="C164" s="10">
        <v>42849</v>
      </c>
      <c r="D164" s="10">
        <v>0</v>
      </c>
      <c r="E164" s="10">
        <v>730000</v>
      </c>
      <c r="F164" s="10">
        <v>84</v>
      </c>
      <c r="G164" s="16">
        <v>11.67</v>
      </c>
      <c r="H164" s="10">
        <v>701</v>
      </c>
      <c r="I164" s="10">
        <f t="shared" si="12"/>
        <v>12758.0215156832</v>
      </c>
      <c r="J164" s="12">
        <f t="shared" si="13"/>
        <v>0.297743740009877</v>
      </c>
      <c r="K164" s="3" t="b">
        <f t="shared" si="14"/>
        <v>1</v>
      </c>
      <c r="L164" s="3" t="b">
        <f t="shared" si="15"/>
        <v>1</v>
      </c>
      <c r="M164" s="3" t="str">
        <f t="shared" si="16"/>
        <v>Eligible</v>
      </c>
      <c r="N164" s="3" t="str">
        <f t="shared" si="17"/>
        <v/>
      </c>
      <c r="O164" s="3" t="s">
        <v>85</v>
      </c>
    </row>
    <row r="165" customHeight="1" spans="1:15">
      <c r="A165" s="3" t="s">
        <v>427</v>
      </c>
      <c r="B165" s="3" t="s">
        <v>428</v>
      </c>
      <c r="C165" s="10">
        <v>102233</v>
      </c>
      <c r="D165" s="10">
        <v>0</v>
      </c>
      <c r="E165" s="10">
        <v>290000</v>
      </c>
      <c r="F165" s="10">
        <v>36</v>
      </c>
      <c r="G165" s="16">
        <v>14.26</v>
      </c>
      <c r="H165" s="10">
        <v>785</v>
      </c>
      <c r="I165" s="10">
        <f t="shared" si="12"/>
        <v>9948.1731126333</v>
      </c>
      <c r="J165" s="12">
        <f t="shared" si="13"/>
        <v>0.0973088250626833</v>
      </c>
      <c r="K165" s="3" t="b">
        <f t="shared" si="14"/>
        <v>1</v>
      </c>
      <c r="L165" s="3" t="b">
        <f t="shared" si="15"/>
        <v>1</v>
      </c>
      <c r="M165" s="3" t="str">
        <f t="shared" si="16"/>
        <v>Eligible</v>
      </c>
      <c r="N165" s="3" t="str">
        <f t="shared" si="17"/>
        <v/>
      </c>
      <c r="O165" s="3" t="s">
        <v>85</v>
      </c>
    </row>
    <row r="166" customHeight="1" spans="1:15">
      <c r="A166" s="3" t="s">
        <v>429</v>
      </c>
      <c r="B166" s="3" t="s">
        <v>430</v>
      </c>
      <c r="C166" s="10">
        <v>123028</v>
      </c>
      <c r="D166" s="10">
        <v>0</v>
      </c>
      <c r="E166" s="10">
        <v>870000</v>
      </c>
      <c r="F166" s="10">
        <v>60</v>
      </c>
      <c r="G166" s="16">
        <v>9.89</v>
      </c>
      <c r="H166" s="10">
        <v>770</v>
      </c>
      <c r="I166" s="10">
        <f t="shared" si="12"/>
        <v>18437.8758119356</v>
      </c>
      <c r="J166" s="12">
        <f t="shared" si="13"/>
        <v>0.149867313228985</v>
      </c>
      <c r="K166" s="3" t="b">
        <f t="shared" si="14"/>
        <v>1</v>
      </c>
      <c r="L166" s="3" t="b">
        <f t="shared" si="15"/>
        <v>1</v>
      </c>
      <c r="M166" s="3" t="str">
        <f t="shared" si="16"/>
        <v>Eligible</v>
      </c>
      <c r="N166" s="3" t="str">
        <f t="shared" si="17"/>
        <v/>
      </c>
      <c r="O166" s="3" t="s">
        <v>85</v>
      </c>
    </row>
    <row r="167" customHeight="1" spans="1:15">
      <c r="A167" s="3" t="s">
        <v>431</v>
      </c>
      <c r="B167" s="3" t="s">
        <v>432</v>
      </c>
      <c r="C167" s="10">
        <v>103112</v>
      </c>
      <c r="D167" s="10">
        <v>0</v>
      </c>
      <c r="E167" s="10">
        <v>880000</v>
      </c>
      <c r="F167" s="10">
        <v>60</v>
      </c>
      <c r="G167" s="16">
        <v>14</v>
      </c>
      <c r="H167" s="10">
        <v>690</v>
      </c>
      <c r="I167" s="10">
        <f t="shared" si="12"/>
        <v>20476.0607474611</v>
      </c>
      <c r="J167" s="12">
        <f t="shared" si="13"/>
        <v>0.198580773794138</v>
      </c>
      <c r="K167" s="3" t="b">
        <f t="shared" si="14"/>
        <v>1</v>
      </c>
      <c r="L167" s="3" t="b">
        <f t="shared" si="15"/>
        <v>0</v>
      </c>
      <c r="M167" s="3" t="str">
        <f t="shared" si="16"/>
        <v>Not Eligible</v>
      </c>
      <c r="N167" s="3" t="str">
        <f t="shared" si="17"/>
        <v>Credit score below 700</v>
      </c>
      <c r="O167" s="3" t="s">
        <v>85</v>
      </c>
    </row>
    <row r="168" customHeight="1" spans="1:15">
      <c r="A168" s="3" t="s">
        <v>433</v>
      </c>
      <c r="B168" s="3" t="s">
        <v>434</v>
      </c>
      <c r="C168" s="10">
        <v>60894</v>
      </c>
      <c r="D168" s="10">
        <v>18367</v>
      </c>
      <c r="E168" s="10">
        <v>1090000</v>
      </c>
      <c r="F168" s="10">
        <v>60</v>
      </c>
      <c r="G168" s="16">
        <v>14.38</v>
      </c>
      <c r="H168" s="10">
        <v>735</v>
      </c>
      <c r="I168" s="10">
        <f t="shared" si="12"/>
        <v>25577.641275346</v>
      </c>
      <c r="J168" s="12">
        <f t="shared" si="13"/>
        <v>0.721657983961409</v>
      </c>
      <c r="K168" s="3" t="b">
        <f t="shared" si="14"/>
        <v>0</v>
      </c>
      <c r="L168" s="3" t="b">
        <f t="shared" si="15"/>
        <v>1</v>
      </c>
      <c r="M168" s="3" t="str">
        <f t="shared" si="16"/>
        <v>Not Eligible</v>
      </c>
      <c r="N168" s="3" t="str">
        <f t="shared" si="17"/>
        <v>FOIR exceeds 50%</v>
      </c>
      <c r="O168" s="3" t="s">
        <v>85</v>
      </c>
    </row>
    <row r="169" customHeight="1" spans="1:15">
      <c r="A169" s="3" t="s">
        <v>435</v>
      </c>
      <c r="B169" s="3" t="s">
        <v>436</v>
      </c>
      <c r="C169" s="10">
        <v>42913</v>
      </c>
      <c r="D169" s="10">
        <v>7887</v>
      </c>
      <c r="E169" s="10">
        <v>790000</v>
      </c>
      <c r="F169" s="10">
        <v>48</v>
      </c>
      <c r="G169" s="16">
        <v>10.84</v>
      </c>
      <c r="H169" s="10">
        <v>754</v>
      </c>
      <c r="I169" s="10">
        <f t="shared" si="12"/>
        <v>20356.6335581914</v>
      </c>
      <c r="J169" s="12">
        <f t="shared" si="13"/>
        <v>0.65816031408178</v>
      </c>
      <c r="K169" s="3" t="b">
        <f t="shared" si="14"/>
        <v>0</v>
      </c>
      <c r="L169" s="3" t="b">
        <f t="shared" si="15"/>
        <v>1</v>
      </c>
      <c r="M169" s="3" t="str">
        <f t="shared" si="16"/>
        <v>Not Eligible</v>
      </c>
      <c r="N169" s="3" t="str">
        <f t="shared" si="17"/>
        <v>FOIR exceeds 50%</v>
      </c>
      <c r="O169" s="3" t="s">
        <v>85</v>
      </c>
    </row>
    <row r="170" customHeight="1" spans="1:15">
      <c r="A170" s="3" t="s">
        <v>437</v>
      </c>
      <c r="B170" s="3" t="s">
        <v>438</v>
      </c>
      <c r="C170" s="10">
        <v>72757</v>
      </c>
      <c r="D170" s="10">
        <v>26891</v>
      </c>
      <c r="E170" s="10">
        <v>420000</v>
      </c>
      <c r="F170" s="10">
        <v>60</v>
      </c>
      <c r="G170" s="16">
        <v>14.36</v>
      </c>
      <c r="H170" s="10">
        <v>696</v>
      </c>
      <c r="I170" s="10">
        <f t="shared" si="12"/>
        <v>9851.22984539094</v>
      </c>
      <c r="J170" s="12">
        <f t="shared" si="13"/>
        <v>0.504999241933985</v>
      </c>
      <c r="K170" s="3" t="b">
        <f t="shared" si="14"/>
        <v>0</v>
      </c>
      <c r="L170" s="3" t="b">
        <f t="shared" si="15"/>
        <v>0</v>
      </c>
      <c r="M170" s="3" t="str">
        <f t="shared" si="16"/>
        <v>Not Eligible</v>
      </c>
      <c r="N170" s="3" t="str">
        <f t="shared" si="17"/>
        <v>FOIR exceeds 50% and credit score below 700</v>
      </c>
      <c r="O170" s="3" t="s">
        <v>85</v>
      </c>
    </row>
    <row r="171" customHeight="1" spans="1:15">
      <c r="A171" s="3" t="s">
        <v>439</v>
      </c>
      <c r="B171" s="3" t="s">
        <v>440</v>
      </c>
      <c r="C171" s="10">
        <v>28368</v>
      </c>
      <c r="D171" s="10">
        <v>0</v>
      </c>
      <c r="E171" s="10">
        <v>410000</v>
      </c>
      <c r="F171" s="10">
        <v>48</v>
      </c>
      <c r="G171" s="16">
        <v>12.18</v>
      </c>
      <c r="H171" s="10">
        <v>680</v>
      </c>
      <c r="I171" s="10">
        <f t="shared" si="12"/>
        <v>10833.1431795093</v>
      </c>
      <c r="J171" s="12">
        <f t="shared" si="13"/>
        <v>0.381878989689416</v>
      </c>
      <c r="K171" s="3" t="b">
        <f t="shared" si="14"/>
        <v>1</v>
      </c>
      <c r="L171" s="3" t="b">
        <f t="shared" si="15"/>
        <v>0</v>
      </c>
      <c r="M171" s="3" t="str">
        <f t="shared" si="16"/>
        <v>Not Eligible</v>
      </c>
      <c r="N171" s="3" t="str">
        <f t="shared" si="17"/>
        <v>Credit score below 700</v>
      </c>
      <c r="O171" s="3" t="s">
        <v>85</v>
      </c>
    </row>
    <row r="172" customHeight="1" spans="1:15">
      <c r="A172" s="3" t="s">
        <v>441</v>
      </c>
      <c r="B172" s="3" t="s">
        <v>442</v>
      </c>
      <c r="C172" s="10">
        <v>186429</v>
      </c>
      <c r="D172" s="10">
        <v>21334</v>
      </c>
      <c r="E172" s="10">
        <v>240000</v>
      </c>
      <c r="F172" s="10">
        <v>36</v>
      </c>
      <c r="G172" s="16">
        <v>13.16</v>
      </c>
      <c r="H172" s="10">
        <v>709</v>
      </c>
      <c r="I172" s="10">
        <f t="shared" si="12"/>
        <v>8105.05671003852</v>
      </c>
      <c r="J172" s="12">
        <f t="shared" si="13"/>
        <v>0.157910286007212</v>
      </c>
      <c r="K172" s="3" t="b">
        <f t="shared" si="14"/>
        <v>1</v>
      </c>
      <c r="L172" s="3" t="b">
        <f t="shared" si="15"/>
        <v>1</v>
      </c>
      <c r="M172" s="3" t="str">
        <f t="shared" si="16"/>
        <v>Eligible</v>
      </c>
      <c r="N172" s="3" t="str">
        <f t="shared" si="17"/>
        <v/>
      </c>
      <c r="O172" s="3" t="s">
        <v>85</v>
      </c>
    </row>
    <row r="173" customHeight="1" spans="1:15">
      <c r="A173" s="3" t="s">
        <v>443</v>
      </c>
      <c r="B173" s="3" t="s">
        <v>444</v>
      </c>
      <c r="C173" s="10">
        <v>32288</v>
      </c>
      <c r="D173" s="10">
        <v>0</v>
      </c>
      <c r="E173" s="10">
        <v>210000</v>
      </c>
      <c r="F173" s="10">
        <v>36</v>
      </c>
      <c r="G173" s="16">
        <v>14.01</v>
      </c>
      <c r="H173" s="10">
        <v>749</v>
      </c>
      <c r="I173" s="10">
        <f t="shared" si="12"/>
        <v>7178.32224194363</v>
      </c>
      <c r="J173" s="12">
        <f t="shared" si="13"/>
        <v>0.222321674985866</v>
      </c>
      <c r="K173" s="3" t="b">
        <f t="shared" si="14"/>
        <v>1</v>
      </c>
      <c r="L173" s="3" t="b">
        <f t="shared" si="15"/>
        <v>1</v>
      </c>
      <c r="M173" s="3" t="str">
        <f t="shared" si="16"/>
        <v>Eligible</v>
      </c>
      <c r="N173" s="3" t="str">
        <f t="shared" si="17"/>
        <v/>
      </c>
      <c r="O173" s="3" t="s">
        <v>85</v>
      </c>
    </row>
    <row r="174" customHeight="1" spans="1:15">
      <c r="A174" s="3" t="s">
        <v>445</v>
      </c>
      <c r="B174" s="3" t="s">
        <v>446</v>
      </c>
      <c r="C174" s="10">
        <v>62689</v>
      </c>
      <c r="D174" s="10">
        <v>17727</v>
      </c>
      <c r="E174" s="10">
        <v>320000</v>
      </c>
      <c r="F174" s="10">
        <v>36</v>
      </c>
      <c r="G174" s="16">
        <v>14.35</v>
      </c>
      <c r="H174" s="10">
        <v>759</v>
      </c>
      <c r="I174" s="10">
        <f t="shared" si="12"/>
        <v>10991.3176628741</v>
      </c>
      <c r="J174" s="12">
        <f t="shared" si="13"/>
        <v>0.458107764725456</v>
      </c>
      <c r="K174" s="3" t="b">
        <f t="shared" si="14"/>
        <v>1</v>
      </c>
      <c r="L174" s="3" t="b">
        <f t="shared" si="15"/>
        <v>1</v>
      </c>
      <c r="M174" s="3" t="str">
        <f t="shared" si="16"/>
        <v>Eligible</v>
      </c>
      <c r="N174" s="3" t="str">
        <f t="shared" si="17"/>
        <v/>
      </c>
      <c r="O174" s="3" t="s">
        <v>85</v>
      </c>
    </row>
    <row r="175" customHeight="1" spans="1:15">
      <c r="A175" s="3" t="s">
        <v>447</v>
      </c>
      <c r="B175" s="3" t="s">
        <v>448</v>
      </c>
      <c r="C175" s="10">
        <v>64936</v>
      </c>
      <c r="D175" s="10">
        <v>0</v>
      </c>
      <c r="E175" s="10">
        <v>310000</v>
      </c>
      <c r="F175" s="10">
        <v>84</v>
      </c>
      <c r="G175" s="16">
        <v>11.67</v>
      </c>
      <c r="H175" s="10">
        <v>725</v>
      </c>
      <c r="I175" s="10">
        <f t="shared" si="12"/>
        <v>5417.78995871479</v>
      </c>
      <c r="J175" s="12">
        <f t="shared" si="13"/>
        <v>0.0834327639324071</v>
      </c>
      <c r="K175" s="3" t="b">
        <f t="shared" si="14"/>
        <v>1</v>
      </c>
      <c r="L175" s="3" t="b">
        <f t="shared" si="15"/>
        <v>1</v>
      </c>
      <c r="M175" s="3" t="str">
        <f t="shared" si="16"/>
        <v>Eligible</v>
      </c>
      <c r="N175" s="3" t="str">
        <f t="shared" si="17"/>
        <v/>
      </c>
      <c r="O175" s="3" t="s">
        <v>85</v>
      </c>
    </row>
    <row r="176" customHeight="1" spans="1:15">
      <c r="A176" s="3" t="s">
        <v>449</v>
      </c>
      <c r="B176" s="3" t="s">
        <v>450</v>
      </c>
      <c r="C176" s="10">
        <v>100154</v>
      </c>
      <c r="D176" s="10">
        <v>0</v>
      </c>
      <c r="E176" s="10">
        <v>720000</v>
      </c>
      <c r="F176" s="10">
        <v>48</v>
      </c>
      <c r="G176" s="16">
        <v>10.72</v>
      </c>
      <c r="H176" s="10">
        <v>718</v>
      </c>
      <c r="I176" s="10">
        <f t="shared" si="12"/>
        <v>18511.0249662959</v>
      </c>
      <c r="J176" s="12">
        <f t="shared" si="13"/>
        <v>0.184825618210914</v>
      </c>
      <c r="K176" s="3" t="b">
        <f t="shared" si="14"/>
        <v>1</v>
      </c>
      <c r="L176" s="3" t="b">
        <f t="shared" si="15"/>
        <v>1</v>
      </c>
      <c r="M176" s="3" t="str">
        <f t="shared" si="16"/>
        <v>Eligible</v>
      </c>
      <c r="N176" s="3" t="str">
        <f t="shared" si="17"/>
        <v/>
      </c>
      <c r="O176" s="3" t="s">
        <v>85</v>
      </c>
    </row>
    <row r="177" customHeight="1" spans="1:15">
      <c r="A177" s="3" t="s">
        <v>451</v>
      </c>
      <c r="B177" s="3" t="s">
        <v>452</v>
      </c>
      <c r="C177" s="10">
        <v>86188</v>
      </c>
      <c r="D177" s="10">
        <v>34055</v>
      </c>
      <c r="E177" s="10">
        <v>800000</v>
      </c>
      <c r="F177" s="10">
        <v>48</v>
      </c>
      <c r="G177" s="16">
        <v>11.02</v>
      </c>
      <c r="H177" s="10">
        <v>771</v>
      </c>
      <c r="I177" s="10">
        <f t="shared" si="12"/>
        <v>20684.1890322316</v>
      </c>
      <c r="J177" s="12">
        <f t="shared" si="13"/>
        <v>0.635113809720977</v>
      </c>
      <c r="K177" s="3" t="b">
        <f t="shared" si="14"/>
        <v>0</v>
      </c>
      <c r="L177" s="3" t="b">
        <f t="shared" si="15"/>
        <v>1</v>
      </c>
      <c r="M177" s="3" t="str">
        <f t="shared" si="16"/>
        <v>Not Eligible</v>
      </c>
      <c r="N177" s="3" t="str">
        <f t="shared" si="17"/>
        <v>FOIR exceeds 50%</v>
      </c>
      <c r="O177" s="3" t="s">
        <v>85</v>
      </c>
    </row>
    <row r="178" customHeight="1" spans="1:15">
      <c r="A178" s="3" t="s">
        <v>453</v>
      </c>
      <c r="B178" s="3" t="s">
        <v>454</v>
      </c>
      <c r="C178" s="10">
        <v>79827</v>
      </c>
      <c r="D178" s="10">
        <v>21778</v>
      </c>
      <c r="E178" s="10">
        <v>460000</v>
      </c>
      <c r="F178" s="10">
        <v>36</v>
      </c>
      <c r="G178" s="16">
        <v>13.48</v>
      </c>
      <c r="H178" s="10">
        <v>698</v>
      </c>
      <c r="I178" s="10">
        <f t="shared" si="12"/>
        <v>15605.7827019436</v>
      </c>
      <c r="J178" s="12">
        <f t="shared" si="13"/>
        <v>0.468310004158288</v>
      </c>
      <c r="K178" s="3" t="b">
        <f t="shared" si="14"/>
        <v>1</v>
      </c>
      <c r="L178" s="3" t="b">
        <f t="shared" si="15"/>
        <v>0</v>
      </c>
      <c r="M178" s="3" t="str">
        <f t="shared" si="16"/>
        <v>Not Eligible</v>
      </c>
      <c r="N178" s="3" t="str">
        <f t="shared" si="17"/>
        <v>Credit score below 700</v>
      </c>
      <c r="O178" s="3" t="s">
        <v>85</v>
      </c>
    </row>
    <row r="179" customHeight="1" spans="1:15">
      <c r="A179" s="3" t="s">
        <v>455</v>
      </c>
      <c r="B179" s="3" t="s">
        <v>456</v>
      </c>
      <c r="C179" s="10">
        <v>44550</v>
      </c>
      <c r="D179" s="10">
        <v>0</v>
      </c>
      <c r="E179" s="10">
        <v>400000</v>
      </c>
      <c r="F179" s="10">
        <v>60</v>
      </c>
      <c r="G179" s="16">
        <v>14.52</v>
      </c>
      <c r="H179" s="10">
        <v>782</v>
      </c>
      <c r="I179" s="10">
        <f t="shared" si="12"/>
        <v>9415.48640210538</v>
      </c>
      <c r="J179" s="12">
        <f t="shared" si="13"/>
        <v>0.211346496119088</v>
      </c>
      <c r="K179" s="3" t="b">
        <f t="shared" si="14"/>
        <v>1</v>
      </c>
      <c r="L179" s="3" t="b">
        <f t="shared" si="15"/>
        <v>1</v>
      </c>
      <c r="M179" s="3" t="str">
        <f t="shared" si="16"/>
        <v>Eligible</v>
      </c>
      <c r="N179" s="3" t="str">
        <f t="shared" si="17"/>
        <v/>
      </c>
      <c r="O179" s="3" t="s">
        <v>85</v>
      </c>
    </row>
    <row r="180" customHeight="1" spans="1:15">
      <c r="A180" s="3" t="s">
        <v>457</v>
      </c>
      <c r="B180" s="3" t="s">
        <v>384</v>
      </c>
      <c r="C180" s="10">
        <v>55089</v>
      </c>
      <c r="D180" s="10">
        <v>0</v>
      </c>
      <c r="E180" s="10">
        <v>440000</v>
      </c>
      <c r="F180" s="10">
        <v>84</v>
      </c>
      <c r="G180" s="16">
        <v>10.79</v>
      </c>
      <c r="H180" s="10">
        <v>702</v>
      </c>
      <c r="I180" s="10">
        <f t="shared" si="12"/>
        <v>7485.37666333346</v>
      </c>
      <c r="J180" s="12">
        <f t="shared" si="13"/>
        <v>0.135877882396367</v>
      </c>
      <c r="K180" s="3" t="b">
        <f t="shared" si="14"/>
        <v>1</v>
      </c>
      <c r="L180" s="3" t="b">
        <f t="shared" si="15"/>
        <v>1</v>
      </c>
      <c r="M180" s="3" t="str">
        <f t="shared" si="16"/>
        <v>Eligible</v>
      </c>
      <c r="N180" s="3" t="str">
        <f t="shared" si="17"/>
        <v/>
      </c>
      <c r="O180" s="3" t="s">
        <v>85</v>
      </c>
    </row>
    <row r="181" customHeight="1" spans="1:15">
      <c r="A181" s="3" t="s">
        <v>458</v>
      </c>
      <c r="B181" s="3" t="s">
        <v>234</v>
      </c>
      <c r="C181" s="10">
        <v>50109</v>
      </c>
      <c r="D181" s="10">
        <v>15440</v>
      </c>
      <c r="E181" s="10">
        <v>1120000</v>
      </c>
      <c r="F181" s="10">
        <v>84</v>
      </c>
      <c r="G181" s="16">
        <v>10.97</v>
      </c>
      <c r="H181" s="10">
        <v>659</v>
      </c>
      <c r="I181" s="10">
        <f t="shared" si="12"/>
        <v>19159.4667514769</v>
      </c>
      <c r="J181" s="12">
        <f t="shared" si="13"/>
        <v>0.690484079735714</v>
      </c>
      <c r="K181" s="3" t="b">
        <f t="shared" si="14"/>
        <v>0</v>
      </c>
      <c r="L181" s="3" t="b">
        <f t="shared" si="15"/>
        <v>0</v>
      </c>
      <c r="M181" s="3" t="str">
        <f t="shared" si="16"/>
        <v>Not Eligible</v>
      </c>
      <c r="N181" s="3" t="str">
        <f t="shared" si="17"/>
        <v>FOIR exceeds 50% and credit score below 700</v>
      </c>
      <c r="O181" s="3" t="s">
        <v>85</v>
      </c>
    </row>
    <row r="182" customHeight="1" spans="1:15">
      <c r="A182" s="3" t="s">
        <v>459</v>
      </c>
      <c r="B182" s="3" t="s">
        <v>460</v>
      </c>
      <c r="C182" s="10">
        <v>50706</v>
      </c>
      <c r="D182" s="10">
        <v>0</v>
      </c>
      <c r="E182" s="10">
        <v>1310000</v>
      </c>
      <c r="F182" s="10">
        <v>60</v>
      </c>
      <c r="G182" s="16">
        <v>14.47</v>
      </c>
      <c r="H182" s="10">
        <v>782</v>
      </c>
      <c r="I182" s="10">
        <f t="shared" si="12"/>
        <v>30801.5499514779</v>
      </c>
      <c r="J182" s="12">
        <f t="shared" si="13"/>
        <v>0.607453752050603</v>
      </c>
      <c r="K182" s="3" t="b">
        <f t="shared" si="14"/>
        <v>0</v>
      </c>
      <c r="L182" s="3" t="b">
        <f t="shared" si="15"/>
        <v>1</v>
      </c>
      <c r="M182" s="3" t="str">
        <f t="shared" si="16"/>
        <v>Not Eligible</v>
      </c>
      <c r="N182" s="3" t="str">
        <f t="shared" si="17"/>
        <v>FOIR exceeds 50%</v>
      </c>
      <c r="O182" s="3" t="s">
        <v>85</v>
      </c>
    </row>
    <row r="183" customHeight="1" spans="1:15">
      <c r="A183" s="3" t="s">
        <v>461</v>
      </c>
      <c r="B183" s="3" t="s">
        <v>462</v>
      </c>
      <c r="C183" s="10">
        <v>34524</v>
      </c>
      <c r="D183" s="10">
        <v>7450</v>
      </c>
      <c r="E183" s="10">
        <v>1040000</v>
      </c>
      <c r="F183" s="10">
        <v>60</v>
      </c>
      <c r="G183" s="16">
        <v>9.63</v>
      </c>
      <c r="H183" s="10">
        <v>751</v>
      </c>
      <c r="I183" s="10">
        <f t="shared" si="12"/>
        <v>21908.0657504773</v>
      </c>
      <c r="J183" s="12">
        <f t="shared" si="13"/>
        <v>0.850366867989726</v>
      </c>
      <c r="K183" s="3" t="b">
        <f t="shared" si="14"/>
        <v>0</v>
      </c>
      <c r="L183" s="3" t="b">
        <f t="shared" si="15"/>
        <v>1</v>
      </c>
      <c r="M183" s="3" t="str">
        <f t="shared" si="16"/>
        <v>Not Eligible</v>
      </c>
      <c r="N183" s="3" t="str">
        <f t="shared" si="17"/>
        <v>FOIR exceeds 50%</v>
      </c>
      <c r="O183" s="3" t="s">
        <v>85</v>
      </c>
    </row>
    <row r="184" customHeight="1" spans="1:15">
      <c r="A184" s="3" t="s">
        <v>463</v>
      </c>
      <c r="B184" s="3" t="s">
        <v>464</v>
      </c>
      <c r="C184" s="10">
        <v>43947</v>
      </c>
      <c r="D184" s="10">
        <v>10137</v>
      </c>
      <c r="E184" s="10">
        <v>400000</v>
      </c>
      <c r="F184" s="10">
        <v>60</v>
      </c>
      <c r="G184" s="16">
        <v>9.81</v>
      </c>
      <c r="H184" s="10">
        <v>757</v>
      </c>
      <c r="I184" s="10">
        <f t="shared" si="12"/>
        <v>8461.47109917664</v>
      </c>
      <c r="J184" s="12">
        <f t="shared" si="13"/>
        <v>0.423202291377719</v>
      </c>
      <c r="K184" s="3" t="b">
        <f t="shared" si="14"/>
        <v>1</v>
      </c>
      <c r="L184" s="3" t="b">
        <f t="shared" si="15"/>
        <v>1</v>
      </c>
      <c r="M184" s="3" t="str">
        <f t="shared" si="16"/>
        <v>Eligible</v>
      </c>
      <c r="N184" s="3" t="str">
        <f t="shared" si="17"/>
        <v/>
      </c>
      <c r="O184" s="3" t="s">
        <v>85</v>
      </c>
    </row>
    <row r="185" customHeight="1" spans="1:15">
      <c r="A185" s="3" t="s">
        <v>465</v>
      </c>
      <c r="B185" s="3" t="s">
        <v>466</v>
      </c>
      <c r="C185" s="10">
        <v>136821</v>
      </c>
      <c r="D185" s="10">
        <v>0</v>
      </c>
      <c r="E185" s="10">
        <v>460000</v>
      </c>
      <c r="F185" s="10">
        <v>60</v>
      </c>
      <c r="G185" s="16">
        <v>10.4</v>
      </c>
      <c r="H185" s="10">
        <v>773</v>
      </c>
      <c r="I185" s="10">
        <f t="shared" si="12"/>
        <v>9864.42202765278</v>
      </c>
      <c r="J185" s="12">
        <f t="shared" si="13"/>
        <v>0.0720972805903537</v>
      </c>
      <c r="K185" s="3" t="b">
        <f t="shared" si="14"/>
        <v>1</v>
      </c>
      <c r="L185" s="3" t="b">
        <f t="shared" si="15"/>
        <v>1</v>
      </c>
      <c r="M185" s="3" t="str">
        <f t="shared" si="16"/>
        <v>Eligible</v>
      </c>
      <c r="N185" s="3" t="str">
        <f t="shared" si="17"/>
        <v/>
      </c>
      <c r="O185" s="3" t="s">
        <v>85</v>
      </c>
    </row>
    <row r="186" customHeight="1" spans="1:15">
      <c r="A186" s="3" t="s">
        <v>467</v>
      </c>
      <c r="B186" s="3" t="s">
        <v>468</v>
      </c>
      <c r="C186" s="10">
        <v>94093</v>
      </c>
      <c r="D186" s="10">
        <v>5592</v>
      </c>
      <c r="E186" s="10">
        <v>1680000</v>
      </c>
      <c r="F186" s="10">
        <v>60</v>
      </c>
      <c r="G186" s="16">
        <v>14.96</v>
      </c>
      <c r="H186" s="10">
        <v>832</v>
      </c>
      <c r="I186" s="10">
        <f t="shared" si="12"/>
        <v>39931.8171064644</v>
      </c>
      <c r="J186" s="12">
        <f t="shared" si="13"/>
        <v>0.483817256400204</v>
      </c>
      <c r="K186" s="3" t="b">
        <f t="shared" si="14"/>
        <v>1</v>
      </c>
      <c r="L186" s="3" t="b">
        <f t="shared" si="15"/>
        <v>1</v>
      </c>
      <c r="M186" s="3" t="str">
        <f t="shared" si="16"/>
        <v>Eligible</v>
      </c>
      <c r="N186" s="3" t="str">
        <f t="shared" si="17"/>
        <v/>
      </c>
      <c r="O186" s="3" t="s">
        <v>85</v>
      </c>
    </row>
    <row r="187" customHeight="1" spans="1:15">
      <c r="A187" s="3" t="s">
        <v>469</v>
      </c>
      <c r="B187" s="3" t="s">
        <v>470</v>
      </c>
      <c r="C187" s="10">
        <v>62266</v>
      </c>
      <c r="D187" s="10">
        <v>0</v>
      </c>
      <c r="E187" s="10">
        <v>220000</v>
      </c>
      <c r="F187" s="10">
        <v>36</v>
      </c>
      <c r="G187" s="16">
        <v>13.16</v>
      </c>
      <c r="H187" s="10">
        <v>723</v>
      </c>
      <c r="I187" s="10">
        <f t="shared" si="12"/>
        <v>7429.63531753531</v>
      </c>
      <c r="J187" s="12">
        <f t="shared" si="13"/>
        <v>0.119320902539673</v>
      </c>
      <c r="K187" s="3" t="b">
        <f t="shared" si="14"/>
        <v>1</v>
      </c>
      <c r="L187" s="3" t="b">
        <f t="shared" si="15"/>
        <v>1</v>
      </c>
      <c r="M187" s="3" t="str">
        <f t="shared" si="16"/>
        <v>Eligible</v>
      </c>
      <c r="N187" s="3" t="str">
        <f t="shared" si="17"/>
        <v/>
      </c>
      <c r="O187" s="3" t="s">
        <v>85</v>
      </c>
    </row>
    <row r="188" customHeight="1" spans="1:15">
      <c r="A188" s="3" t="s">
        <v>471</v>
      </c>
      <c r="B188" s="3" t="s">
        <v>472</v>
      </c>
      <c r="C188" s="10">
        <v>59221</v>
      </c>
      <c r="D188" s="10">
        <v>6598</v>
      </c>
      <c r="E188" s="10">
        <v>540000</v>
      </c>
      <c r="F188" s="10">
        <v>84</v>
      </c>
      <c r="G188" s="16">
        <v>11.02</v>
      </c>
      <c r="H188" s="10">
        <v>669</v>
      </c>
      <c r="I188" s="10">
        <f t="shared" si="12"/>
        <v>9251.79520627098</v>
      </c>
      <c r="J188" s="12">
        <f t="shared" si="13"/>
        <v>0.267638087946353</v>
      </c>
      <c r="K188" s="3" t="b">
        <f t="shared" si="14"/>
        <v>1</v>
      </c>
      <c r="L188" s="3" t="b">
        <f t="shared" si="15"/>
        <v>0</v>
      </c>
      <c r="M188" s="3" t="str">
        <f t="shared" si="16"/>
        <v>Not Eligible</v>
      </c>
      <c r="N188" s="3" t="str">
        <f t="shared" si="17"/>
        <v>Credit score below 700</v>
      </c>
      <c r="O188" s="3" t="s">
        <v>85</v>
      </c>
    </row>
    <row r="189" customHeight="1" spans="1:15">
      <c r="A189" s="3" t="s">
        <v>473</v>
      </c>
      <c r="B189" s="3" t="s">
        <v>474</v>
      </c>
      <c r="C189" s="10">
        <v>55251</v>
      </c>
      <c r="D189" s="10">
        <v>1387</v>
      </c>
      <c r="E189" s="10">
        <v>110000</v>
      </c>
      <c r="F189" s="10">
        <v>36</v>
      </c>
      <c r="G189" s="16">
        <v>13.2</v>
      </c>
      <c r="H189" s="10">
        <v>773</v>
      </c>
      <c r="I189" s="10">
        <f t="shared" si="12"/>
        <v>3716.94016828598</v>
      </c>
      <c r="J189" s="12">
        <f t="shared" si="13"/>
        <v>0.0923773355828126</v>
      </c>
      <c r="K189" s="3" t="b">
        <f t="shared" si="14"/>
        <v>1</v>
      </c>
      <c r="L189" s="3" t="b">
        <f t="shared" si="15"/>
        <v>1</v>
      </c>
      <c r="M189" s="3" t="str">
        <f t="shared" si="16"/>
        <v>Eligible</v>
      </c>
      <c r="N189" s="3" t="str">
        <f t="shared" si="17"/>
        <v/>
      </c>
      <c r="O189" s="3" t="s">
        <v>85</v>
      </c>
    </row>
    <row r="190" customHeight="1" spans="1:15">
      <c r="A190" s="3" t="s">
        <v>475</v>
      </c>
      <c r="B190" s="3" t="s">
        <v>476</v>
      </c>
      <c r="C190" s="10">
        <v>87840</v>
      </c>
      <c r="D190" s="10">
        <v>0</v>
      </c>
      <c r="E190" s="10">
        <v>980000</v>
      </c>
      <c r="F190" s="10">
        <v>60</v>
      </c>
      <c r="G190" s="16">
        <v>9.27</v>
      </c>
      <c r="H190" s="10">
        <v>771</v>
      </c>
      <c r="I190" s="10">
        <f t="shared" si="12"/>
        <v>20471.84709216</v>
      </c>
      <c r="J190" s="12">
        <f t="shared" si="13"/>
        <v>0.233058368535519</v>
      </c>
      <c r="K190" s="3" t="b">
        <f t="shared" si="14"/>
        <v>1</v>
      </c>
      <c r="L190" s="3" t="b">
        <f t="shared" si="15"/>
        <v>1</v>
      </c>
      <c r="M190" s="3" t="str">
        <f t="shared" si="16"/>
        <v>Eligible</v>
      </c>
      <c r="N190" s="3" t="str">
        <f t="shared" si="17"/>
        <v/>
      </c>
      <c r="O190" s="3" t="s">
        <v>85</v>
      </c>
    </row>
    <row r="191" customHeight="1" spans="1:15">
      <c r="A191" s="3" t="s">
        <v>477</v>
      </c>
      <c r="B191" s="3" t="s">
        <v>478</v>
      </c>
      <c r="C191" s="10">
        <v>38756</v>
      </c>
      <c r="D191" s="10">
        <v>0</v>
      </c>
      <c r="E191" s="10">
        <v>770000</v>
      </c>
      <c r="F191" s="10">
        <v>48</v>
      </c>
      <c r="G191" s="16">
        <v>11.39</v>
      </c>
      <c r="H191" s="10">
        <v>696</v>
      </c>
      <c r="I191" s="10">
        <f t="shared" si="12"/>
        <v>20047.2016482959</v>
      </c>
      <c r="J191" s="12">
        <f t="shared" si="13"/>
        <v>0.517267046348846</v>
      </c>
      <c r="K191" s="3" t="b">
        <f t="shared" si="14"/>
        <v>0</v>
      </c>
      <c r="L191" s="3" t="b">
        <f t="shared" si="15"/>
        <v>0</v>
      </c>
      <c r="M191" s="3" t="str">
        <f t="shared" si="16"/>
        <v>Not Eligible</v>
      </c>
      <c r="N191" s="3" t="str">
        <f t="shared" si="17"/>
        <v>FOIR exceeds 50% and credit score below 700</v>
      </c>
      <c r="O191" s="3" t="s">
        <v>85</v>
      </c>
    </row>
    <row r="192" customHeight="1" spans="1:15">
      <c r="A192" s="3" t="s">
        <v>479</v>
      </c>
      <c r="B192" s="3" t="s">
        <v>480</v>
      </c>
      <c r="C192" s="10">
        <v>45291</v>
      </c>
      <c r="D192" s="10">
        <v>0</v>
      </c>
      <c r="E192" s="10">
        <v>1360000</v>
      </c>
      <c r="F192" s="10">
        <v>84</v>
      </c>
      <c r="G192" s="16">
        <v>10.11</v>
      </c>
      <c r="H192" s="10">
        <v>726</v>
      </c>
      <c r="I192" s="10">
        <f t="shared" si="12"/>
        <v>22654.983171248</v>
      </c>
      <c r="J192" s="12">
        <f t="shared" si="13"/>
        <v>0.50020938312795</v>
      </c>
      <c r="K192" s="3" t="b">
        <f t="shared" si="14"/>
        <v>0</v>
      </c>
      <c r="L192" s="3" t="b">
        <f t="shared" si="15"/>
        <v>1</v>
      </c>
      <c r="M192" s="3" t="str">
        <f t="shared" si="16"/>
        <v>Not Eligible</v>
      </c>
      <c r="N192" s="3" t="str">
        <f t="shared" si="17"/>
        <v>FOIR exceeds 50%</v>
      </c>
      <c r="O192" s="3" t="s">
        <v>85</v>
      </c>
    </row>
    <row r="193" customHeight="1" spans="1:15">
      <c r="A193" s="3" t="s">
        <v>481</v>
      </c>
      <c r="B193" s="3" t="s">
        <v>482</v>
      </c>
      <c r="C193" s="10">
        <v>37094</v>
      </c>
      <c r="D193" s="10">
        <v>10800</v>
      </c>
      <c r="E193" s="10">
        <v>170000</v>
      </c>
      <c r="F193" s="10">
        <v>48</v>
      </c>
      <c r="G193" s="16">
        <v>11.2</v>
      </c>
      <c r="H193" s="10">
        <v>736</v>
      </c>
      <c r="I193" s="10">
        <f t="shared" si="12"/>
        <v>4410.26853602724</v>
      </c>
      <c r="J193" s="12">
        <f t="shared" si="13"/>
        <v>0.410046598803775</v>
      </c>
      <c r="K193" s="3" t="b">
        <f t="shared" si="14"/>
        <v>1</v>
      </c>
      <c r="L193" s="3" t="b">
        <f t="shared" si="15"/>
        <v>1</v>
      </c>
      <c r="M193" s="3" t="str">
        <f t="shared" si="16"/>
        <v>Eligible</v>
      </c>
      <c r="N193" s="3" t="str">
        <f t="shared" si="17"/>
        <v/>
      </c>
      <c r="O193" s="3" t="s">
        <v>85</v>
      </c>
    </row>
    <row r="194" customHeight="1" spans="1:15">
      <c r="A194" s="3" t="s">
        <v>483</v>
      </c>
      <c r="B194" s="3" t="s">
        <v>484</v>
      </c>
      <c r="C194" s="10">
        <v>124350</v>
      </c>
      <c r="D194" s="10">
        <v>19885</v>
      </c>
      <c r="E194" s="10">
        <v>1060000</v>
      </c>
      <c r="F194" s="10">
        <v>60</v>
      </c>
      <c r="G194" s="16">
        <v>14.29</v>
      </c>
      <c r="H194" s="10">
        <v>688</v>
      </c>
      <c r="I194" s="10">
        <f t="shared" ref="I194:I257" si="18">IF(F194&lt;=0,"",IF(G194=0,E194/F194,E194*(G194/12/100)*(1+G194/12/100)^F194/((1+G194/12/100)^F194-1)))</f>
        <v>24824.0030811984</v>
      </c>
      <c r="J194" s="12">
        <f t="shared" ref="J194:J257" si="19">IF(C194&lt;=0,"",(D194+I194)/C194)</f>
        <v>0.359541641183742</v>
      </c>
      <c r="K194" s="3" t="b">
        <f t="shared" ref="K194:K257" si="20">IF(J194="","",J194&lt;=50%)</f>
        <v>1</v>
      </c>
      <c r="L194" s="3" t="b">
        <f t="shared" ref="L194:L257" si="21">H194&gt;=700</f>
        <v>0</v>
      </c>
      <c r="M194" s="3" t="str">
        <f t="shared" ref="M194:M257" si="22">IF(AND(K194,L194),"Eligible","Not Eligible")</f>
        <v>Not Eligible</v>
      </c>
      <c r="N194" s="3" t="str">
        <f t="shared" ref="N194:N257" si="23">IF(M194="Eligible","",IF(AND(NOT(K194),NOT(L194)),"FOIR exceeds 50% and credit score below 700",IF(NOT(K194),"FOIR exceeds 50%","Credit score below 700")))</f>
        <v>Credit score below 700</v>
      </c>
      <c r="O194" s="3" t="s">
        <v>85</v>
      </c>
    </row>
    <row r="195" customHeight="1" spans="1:15">
      <c r="A195" s="3" t="s">
        <v>485</v>
      </c>
      <c r="B195" s="3" t="s">
        <v>486</v>
      </c>
      <c r="C195" s="10">
        <v>39105</v>
      </c>
      <c r="D195" s="10">
        <v>9977</v>
      </c>
      <c r="E195" s="10">
        <v>240000</v>
      </c>
      <c r="F195" s="10">
        <v>48</v>
      </c>
      <c r="G195" s="16">
        <v>11.77</v>
      </c>
      <c r="H195" s="10">
        <v>653</v>
      </c>
      <c r="I195" s="10">
        <f t="shared" si="18"/>
        <v>6293.05175549528</v>
      </c>
      <c r="J195" s="12">
        <f t="shared" si="19"/>
        <v>0.416060650952443</v>
      </c>
      <c r="K195" s="3" t="b">
        <f t="shared" si="20"/>
        <v>1</v>
      </c>
      <c r="L195" s="3" t="b">
        <f t="shared" si="21"/>
        <v>0</v>
      </c>
      <c r="M195" s="3" t="str">
        <f t="shared" si="22"/>
        <v>Not Eligible</v>
      </c>
      <c r="N195" s="3" t="str">
        <f t="shared" si="23"/>
        <v>Credit score below 700</v>
      </c>
      <c r="O195" s="3" t="s">
        <v>85</v>
      </c>
    </row>
    <row r="196" customHeight="1" spans="1:15">
      <c r="A196" s="3" t="s">
        <v>487</v>
      </c>
      <c r="B196" s="3" t="s">
        <v>488</v>
      </c>
      <c r="C196" s="10">
        <v>50564</v>
      </c>
      <c r="D196" s="10">
        <v>21175</v>
      </c>
      <c r="E196" s="10">
        <v>240000</v>
      </c>
      <c r="F196" s="10">
        <v>36</v>
      </c>
      <c r="G196" s="16">
        <v>14.28</v>
      </c>
      <c r="H196" s="10">
        <v>791</v>
      </c>
      <c r="I196" s="10">
        <f t="shared" si="18"/>
        <v>8235.30737600612</v>
      </c>
      <c r="J196" s="12">
        <f t="shared" si="19"/>
        <v>0.581645189779411</v>
      </c>
      <c r="K196" s="3" t="b">
        <f t="shared" si="20"/>
        <v>0</v>
      </c>
      <c r="L196" s="3" t="b">
        <f t="shared" si="21"/>
        <v>1</v>
      </c>
      <c r="M196" s="3" t="str">
        <f t="shared" si="22"/>
        <v>Not Eligible</v>
      </c>
      <c r="N196" s="3" t="str">
        <f t="shared" si="23"/>
        <v>FOIR exceeds 50%</v>
      </c>
      <c r="O196" s="3" t="s">
        <v>91</v>
      </c>
    </row>
    <row r="197" customHeight="1" spans="1:15">
      <c r="A197" s="3" t="s">
        <v>489</v>
      </c>
      <c r="B197" s="3" t="s">
        <v>490</v>
      </c>
      <c r="C197" s="10">
        <v>95704</v>
      </c>
      <c r="D197" s="10">
        <v>0</v>
      </c>
      <c r="E197" s="10">
        <v>690000</v>
      </c>
      <c r="F197" s="10">
        <v>60</v>
      </c>
      <c r="G197" s="16">
        <v>9.51</v>
      </c>
      <c r="H197" s="10">
        <v>739</v>
      </c>
      <c r="I197" s="10">
        <f t="shared" si="18"/>
        <v>14494.6565040248</v>
      </c>
      <c r="J197" s="12">
        <f t="shared" si="19"/>
        <v>0.15145298528823</v>
      </c>
      <c r="K197" s="3" t="b">
        <f t="shared" si="20"/>
        <v>1</v>
      </c>
      <c r="L197" s="3" t="b">
        <f t="shared" si="21"/>
        <v>1</v>
      </c>
      <c r="M197" s="3" t="str">
        <f t="shared" si="22"/>
        <v>Eligible</v>
      </c>
      <c r="N197" s="3" t="str">
        <f t="shared" si="23"/>
        <v/>
      </c>
      <c r="O197" s="3" t="s">
        <v>85</v>
      </c>
    </row>
    <row r="198" customHeight="1" spans="1:15">
      <c r="A198" s="3" t="s">
        <v>491</v>
      </c>
      <c r="B198" s="3" t="s">
        <v>492</v>
      </c>
      <c r="C198" s="10">
        <v>117986</v>
      </c>
      <c r="D198" s="10">
        <v>36085</v>
      </c>
      <c r="E198" s="10">
        <v>300000</v>
      </c>
      <c r="F198" s="10">
        <v>36</v>
      </c>
      <c r="G198" s="16">
        <v>14.47</v>
      </c>
      <c r="H198" s="10">
        <v>772</v>
      </c>
      <c r="I198" s="10">
        <f t="shared" si="18"/>
        <v>10321.9044802718</v>
      </c>
      <c r="J198" s="12">
        <f t="shared" si="19"/>
        <v>0.393325517267064</v>
      </c>
      <c r="K198" s="3" t="b">
        <f t="shared" si="20"/>
        <v>1</v>
      </c>
      <c r="L198" s="3" t="b">
        <f t="shared" si="21"/>
        <v>1</v>
      </c>
      <c r="M198" s="3" t="str">
        <f t="shared" si="22"/>
        <v>Eligible</v>
      </c>
      <c r="N198" s="3" t="str">
        <f t="shared" si="23"/>
        <v/>
      </c>
      <c r="O198" s="3" t="s">
        <v>85</v>
      </c>
    </row>
    <row r="199" customHeight="1" spans="1:15">
      <c r="A199" s="3" t="s">
        <v>493</v>
      </c>
      <c r="B199" s="3" t="s">
        <v>494</v>
      </c>
      <c r="C199" s="10">
        <v>79316</v>
      </c>
      <c r="D199" s="10">
        <v>0</v>
      </c>
      <c r="E199" s="10">
        <v>670000</v>
      </c>
      <c r="F199" s="10">
        <v>48</v>
      </c>
      <c r="G199" s="16">
        <v>10.8</v>
      </c>
      <c r="H199" s="10">
        <v>707</v>
      </c>
      <c r="I199" s="10">
        <f t="shared" si="18"/>
        <v>17251.497733115</v>
      </c>
      <c r="J199" s="12">
        <f t="shared" si="19"/>
        <v>0.217503375524673</v>
      </c>
      <c r="K199" s="3" t="b">
        <f t="shared" si="20"/>
        <v>1</v>
      </c>
      <c r="L199" s="3" t="b">
        <f t="shared" si="21"/>
        <v>1</v>
      </c>
      <c r="M199" s="3" t="str">
        <f t="shared" si="22"/>
        <v>Eligible</v>
      </c>
      <c r="N199" s="3" t="str">
        <f t="shared" si="23"/>
        <v/>
      </c>
      <c r="O199" s="3" t="s">
        <v>85</v>
      </c>
    </row>
    <row r="200" customHeight="1" spans="1:15">
      <c r="A200" s="3" t="s">
        <v>495</v>
      </c>
      <c r="B200" s="3" t="s">
        <v>496</v>
      </c>
      <c r="C200" s="10">
        <v>39149</v>
      </c>
      <c r="D200" s="10">
        <v>0</v>
      </c>
      <c r="E200" s="10">
        <v>4380000</v>
      </c>
      <c r="F200" s="10">
        <v>240</v>
      </c>
      <c r="G200" s="16">
        <v>9.58</v>
      </c>
      <c r="H200" s="10">
        <v>688</v>
      </c>
      <c r="I200" s="10">
        <f t="shared" si="18"/>
        <v>41056.4339436543</v>
      </c>
      <c r="J200" s="12">
        <f t="shared" si="19"/>
        <v>1.04872241803505</v>
      </c>
      <c r="K200" s="3" t="b">
        <f t="shared" si="20"/>
        <v>0</v>
      </c>
      <c r="L200" s="3" t="b">
        <f t="shared" si="21"/>
        <v>0</v>
      </c>
      <c r="M200" s="3" t="str">
        <f t="shared" si="22"/>
        <v>Not Eligible</v>
      </c>
      <c r="N200" s="3" t="str">
        <f t="shared" si="23"/>
        <v>FOIR exceeds 50% and credit score below 700</v>
      </c>
      <c r="O200" s="3" t="s">
        <v>85</v>
      </c>
    </row>
    <row r="201" customHeight="1" spans="1:15">
      <c r="A201" s="3" t="s">
        <v>497</v>
      </c>
      <c r="B201" s="3" t="s">
        <v>498</v>
      </c>
      <c r="C201" s="10">
        <v>65951</v>
      </c>
      <c r="D201" s="10">
        <v>92</v>
      </c>
      <c r="E201" s="10">
        <v>1090000</v>
      </c>
      <c r="F201" s="10">
        <v>240</v>
      </c>
      <c r="G201" s="16">
        <v>9.13</v>
      </c>
      <c r="H201" s="10">
        <v>746</v>
      </c>
      <c r="I201" s="10">
        <f t="shared" si="18"/>
        <v>9898.32999868858</v>
      </c>
      <c r="J201" s="12">
        <f t="shared" si="19"/>
        <v>0.151481099584367</v>
      </c>
      <c r="K201" s="3" t="b">
        <f t="shared" si="20"/>
        <v>1</v>
      </c>
      <c r="L201" s="3" t="b">
        <f t="shared" si="21"/>
        <v>1</v>
      </c>
      <c r="M201" s="3" t="str">
        <f t="shared" si="22"/>
        <v>Eligible</v>
      </c>
      <c r="N201" s="3" t="str">
        <f t="shared" si="23"/>
        <v/>
      </c>
      <c r="O201" s="3" t="s">
        <v>85</v>
      </c>
    </row>
    <row r="202" customHeight="1" spans="1:15">
      <c r="A202" s="3" t="s">
        <v>499</v>
      </c>
      <c r="B202" s="3" t="s">
        <v>500</v>
      </c>
      <c r="C202" s="10">
        <v>44705</v>
      </c>
      <c r="D202" s="10">
        <v>0</v>
      </c>
      <c r="E202" s="10">
        <v>1420000</v>
      </c>
      <c r="F202" s="10">
        <v>240</v>
      </c>
      <c r="G202" s="16">
        <v>8.73</v>
      </c>
      <c r="H202" s="10">
        <v>722</v>
      </c>
      <c r="I202" s="10">
        <f t="shared" si="18"/>
        <v>12530.5767250209</v>
      </c>
      <c r="J202" s="12">
        <f t="shared" si="19"/>
        <v>0.280294748350764</v>
      </c>
      <c r="K202" s="3" t="b">
        <f t="shared" si="20"/>
        <v>1</v>
      </c>
      <c r="L202" s="3" t="b">
        <f t="shared" si="21"/>
        <v>1</v>
      </c>
      <c r="M202" s="3" t="str">
        <f t="shared" si="22"/>
        <v>Eligible</v>
      </c>
      <c r="N202" s="3" t="str">
        <f t="shared" si="23"/>
        <v/>
      </c>
      <c r="O202" s="3" t="s">
        <v>85</v>
      </c>
    </row>
    <row r="203" customHeight="1" spans="1:15">
      <c r="A203" s="3" t="s">
        <v>501</v>
      </c>
      <c r="B203" s="3" t="s">
        <v>502</v>
      </c>
      <c r="C203" s="10">
        <v>36000</v>
      </c>
      <c r="D203" s="10">
        <v>10565</v>
      </c>
      <c r="E203" s="10">
        <v>3320000</v>
      </c>
      <c r="F203" s="10">
        <v>240</v>
      </c>
      <c r="G203" s="16">
        <v>9.26</v>
      </c>
      <c r="H203" s="10">
        <v>745</v>
      </c>
      <c r="I203" s="10">
        <f t="shared" si="18"/>
        <v>30428.2997148058</v>
      </c>
      <c r="J203" s="12">
        <f t="shared" si="19"/>
        <v>1.13870276985572</v>
      </c>
      <c r="K203" s="3" t="b">
        <f t="shared" si="20"/>
        <v>0</v>
      </c>
      <c r="L203" s="3" t="b">
        <f t="shared" si="21"/>
        <v>1</v>
      </c>
      <c r="M203" s="3" t="str">
        <f t="shared" si="22"/>
        <v>Not Eligible</v>
      </c>
      <c r="N203" s="3" t="str">
        <f t="shared" si="23"/>
        <v>FOIR exceeds 50%</v>
      </c>
      <c r="O203" s="3" t="s">
        <v>85</v>
      </c>
    </row>
    <row r="204" customHeight="1" spans="1:15">
      <c r="A204" s="3" t="s">
        <v>503</v>
      </c>
      <c r="B204" s="3" t="s">
        <v>504</v>
      </c>
      <c r="C204" s="10">
        <v>47356</v>
      </c>
      <c r="D204" s="10">
        <v>0</v>
      </c>
      <c r="E204" s="10">
        <v>550000</v>
      </c>
      <c r="F204" s="10">
        <v>48</v>
      </c>
      <c r="G204" s="16">
        <v>11.01</v>
      </c>
      <c r="H204" s="10">
        <v>732</v>
      </c>
      <c r="I204" s="10">
        <f t="shared" si="18"/>
        <v>14217.7085502074</v>
      </c>
      <c r="J204" s="12">
        <f t="shared" si="19"/>
        <v>0.300230352018909</v>
      </c>
      <c r="K204" s="3" t="b">
        <f t="shared" si="20"/>
        <v>1</v>
      </c>
      <c r="L204" s="3" t="b">
        <f t="shared" si="21"/>
        <v>1</v>
      </c>
      <c r="M204" s="3" t="str">
        <f t="shared" si="22"/>
        <v>Eligible</v>
      </c>
      <c r="N204" s="3" t="str">
        <f t="shared" si="23"/>
        <v/>
      </c>
      <c r="O204" s="3" t="s">
        <v>85</v>
      </c>
    </row>
    <row r="205" customHeight="1" spans="1:15">
      <c r="A205" s="3" t="s">
        <v>505</v>
      </c>
      <c r="B205" s="3" t="s">
        <v>506</v>
      </c>
      <c r="C205" s="10">
        <v>40642</v>
      </c>
      <c r="D205" s="10">
        <v>17184</v>
      </c>
      <c r="E205" s="10">
        <v>1830000</v>
      </c>
      <c r="F205" s="10">
        <v>60</v>
      </c>
      <c r="G205" s="16">
        <v>13.74</v>
      </c>
      <c r="H205" s="10">
        <v>699</v>
      </c>
      <c r="I205" s="10">
        <f t="shared" si="18"/>
        <v>42334.6290459521</v>
      </c>
      <c r="J205" s="12">
        <f t="shared" si="19"/>
        <v>1.46446112509109</v>
      </c>
      <c r="K205" s="3" t="b">
        <f t="shared" si="20"/>
        <v>0</v>
      </c>
      <c r="L205" s="3" t="b">
        <f t="shared" si="21"/>
        <v>0</v>
      </c>
      <c r="M205" s="3" t="str">
        <f t="shared" si="22"/>
        <v>Not Eligible</v>
      </c>
      <c r="N205" s="3" t="str">
        <f t="shared" si="23"/>
        <v>FOIR exceeds 50% and credit score below 700</v>
      </c>
      <c r="O205" s="3" t="s">
        <v>85</v>
      </c>
    </row>
    <row r="206" customHeight="1" spans="1:15">
      <c r="A206" s="3" t="s">
        <v>507</v>
      </c>
      <c r="B206" s="3" t="s">
        <v>395</v>
      </c>
      <c r="C206" s="10">
        <v>84203</v>
      </c>
      <c r="D206" s="10">
        <v>7910</v>
      </c>
      <c r="E206" s="10">
        <v>4370000</v>
      </c>
      <c r="F206" s="10">
        <v>240</v>
      </c>
      <c r="G206" s="16">
        <v>9.33</v>
      </c>
      <c r="H206" s="10">
        <v>768</v>
      </c>
      <c r="I206" s="10">
        <f t="shared" si="18"/>
        <v>40250.2388152385</v>
      </c>
      <c r="J206" s="12">
        <f t="shared" si="19"/>
        <v>0.571953954315624</v>
      </c>
      <c r="K206" s="3" t="b">
        <f t="shared" si="20"/>
        <v>0</v>
      </c>
      <c r="L206" s="3" t="b">
        <f t="shared" si="21"/>
        <v>1</v>
      </c>
      <c r="M206" s="3" t="str">
        <f t="shared" si="22"/>
        <v>Not Eligible</v>
      </c>
      <c r="N206" s="3" t="str">
        <f t="shared" si="23"/>
        <v>FOIR exceeds 50%</v>
      </c>
      <c r="O206" s="3" t="s">
        <v>85</v>
      </c>
    </row>
    <row r="207" customHeight="1" spans="1:15">
      <c r="A207" s="3" t="s">
        <v>508</v>
      </c>
      <c r="B207" s="3" t="s">
        <v>509</v>
      </c>
      <c r="C207" s="10">
        <v>167620</v>
      </c>
      <c r="D207" s="10">
        <v>7171</v>
      </c>
      <c r="E207" s="10">
        <v>1090000</v>
      </c>
      <c r="F207" s="10">
        <v>60</v>
      </c>
      <c r="G207" s="16">
        <v>13.92</v>
      </c>
      <c r="H207" s="10">
        <v>705</v>
      </c>
      <c r="I207" s="10">
        <f t="shared" si="18"/>
        <v>25317.208380679</v>
      </c>
      <c r="J207" s="12">
        <f t="shared" si="19"/>
        <v>0.193820596472253</v>
      </c>
      <c r="K207" s="3" t="b">
        <f t="shared" si="20"/>
        <v>1</v>
      </c>
      <c r="L207" s="3" t="b">
        <f t="shared" si="21"/>
        <v>1</v>
      </c>
      <c r="M207" s="3" t="str">
        <f t="shared" si="22"/>
        <v>Eligible</v>
      </c>
      <c r="N207" s="3" t="str">
        <f t="shared" si="23"/>
        <v/>
      </c>
      <c r="O207" s="3" t="s">
        <v>85</v>
      </c>
    </row>
    <row r="208" customHeight="1" spans="1:15">
      <c r="A208" s="3" t="s">
        <v>510</v>
      </c>
      <c r="B208" s="3" t="s">
        <v>511</v>
      </c>
      <c r="C208" s="10">
        <v>27270</v>
      </c>
      <c r="D208" s="10">
        <v>0</v>
      </c>
      <c r="E208" s="10">
        <v>1150000</v>
      </c>
      <c r="F208" s="10">
        <v>84</v>
      </c>
      <c r="G208" s="16">
        <v>10.18</v>
      </c>
      <c r="H208" s="10">
        <v>628</v>
      </c>
      <c r="I208" s="10">
        <f t="shared" si="18"/>
        <v>19198.4879213809</v>
      </c>
      <c r="J208" s="12">
        <f t="shared" si="19"/>
        <v>0.70401495861316</v>
      </c>
      <c r="K208" s="3" t="b">
        <f t="shared" si="20"/>
        <v>0</v>
      </c>
      <c r="L208" s="3" t="b">
        <f t="shared" si="21"/>
        <v>0</v>
      </c>
      <c r="M208" s="3" t="str">
        <f t="shared" si="22"/>
        <v>Not Eligible</v>
      </c>
      <c r="N208" s="3" t="str">
        <f t="shared" si="23"/>
        <v>FOIR exceeds 50% and credit score below 700</v>
      </c>
      <c r="O208" s="3" t="s">
        <v>91</v>
      </c>
    </row>
    <row r="209" customHeight="1" spans="1:15">
      <c r="A209" s="3" t="s">
        <v>512</v>
      </c>
      <c r="B209" s="3" t="s">
        <v>513</v>
      </c>
      <c r="C209" s="10">
        <v>108928</v>
      </c>
      <c r="D209" s="10">
        <v>0</v>
      </c>
      <c r="E209" s="10">
        <v>1170000</v>
      </c>
      <c r="F209" s="10">
        <v>84</v>
      </c>
      <c r="G209" s="16">
        <v>10.26</v>
      </c>
      <c r="H209" s="10">
        <v>673</v>
      </c>
      <c r="I209" s="10">
        <f t="shared" si="18"/>
        <v>19580.9255077531</v>
      </c>
      <c r="J209" s="12">
        <f t="shared" si="19"/>
        <v>0.179760259141388</v>
      </c>
      <c r="K209" s="3" t="b">
        <f t="shared" si="20"/>
        <v>1</v>
      </c>
      <c r="L209" s="3" t="b">
        <f t="shared" si="21"/>
        <v>0</v>
      </c>
      <c r="M209" s="3" t="str">
        <f t="shared" si="22"/>
        <v>Not Eligible</v>
      </c>
      <c r="N209" s="3" t="str">
        <f t="shared" si="23"/>
        <v>Credit score below 700</v>
      </c>
      <c r="O209" s="3" t="s">
        <v>85</v>
      </c>
    </row>
    <row r="210" customHeight="1" spans="1:15">
      <c r="A210" s="3" t="s">
        <v>514</v>
      </c>
      <c r="B210" s="3" t="s">
        <v>515</v>
      </c>
      <c r="C210" s="10">
        <v>41869</v>
      </c>
      <c r="D210" s="10">
        <v>7672</v>
      </c>
      <c r="E210" s="10">
        <v>4250000</v>
      </c>
      <c r="F210" s="10">
        <v>240</v>
      </c>
      <c r="G210" s="16">
        <v>9.55</v>
      </c>
      <c r="H210" s="10">
        <v>722</v>
      </c>
      <c r="I210" s="10">
        <f t="shared" si="18"/>
        <v>39754.4441218872</v>
      </c>
      <c r="J210" s="12">
        <f t="shared" si="19"/>
        <v>1.13273410212537</v>
      </c>
      <c r="K210" s="3" t="b">
        <f t="shared" si="20"/>
        <v>0</v>
      </c>
      <c r="L210" s="3" t="b">
        <f t="shared" si="21"/>
        <v>1</v>
      </c>
      <c r="M210" s="3" t="str">
        <f t="shared" si="22"/>
        <v>Not Eligible</v>
      </c>
      <c r="N210" s="3" t="str">
        <f t="shared" si="23"/>
        <v>FOIR exceeds 50%</v>
      </c>
      <c r="O210" s="3" t="s">
        <v>91</v>
      </c>
    </row>
    <row r="211" customHeight="1" spans="1:15">
      <c r="A211" s="3" t="s">
        <v>516</v>
      </c>
      <c r="B211" s="3" t="s">
        <v>517</v>
      </c>
      <c r="C211" s="10">
        <v>91287</v>
      </c>
      <c r="D211" s="10">
        <v>0</v>
      </c>
      <c r="E211" s="10">
        <v>920000</v>
      </c>
      <c r="F211" s="10">
        <v>84</v>
      </c>
      <c r="G211" s="16">
        <v>11.6</v>
      </c>
      <c r="H211" s="10">
        <v>714</v>
      </c>
      <c r="I211" s="10">
        <f t="shared" si="18"/>
        <v>16044.372980341</v>
      </c>
      <c r="J211" s="12">
        <f t="shared" si="19"/>
        <v>0.175757478943782</v>
      </c>
      <c r="K211" s="3" t="b">
        <f t="shared" si="20"/>
        <v>1</v>
      </c>
      <c r="L211" s="3" t="b">
        <f t="shared" si="21"/>
        <v>1</v>
      </c>
      <c r="M211" s="3" t="str">
        <f t="shared" si="22"/>
        <v>Eligible</v>
      </c>
      <c r="N211" s="3" t="str">
        <f t="shared" si="23"/>
        <v/>
      </c>
      <c r="O211" s="3" t="s">
        <v>85</v>
      </c>
    </row>
    <row r="212" customHeight="1" spans="1:15">
      <c r="A212" s="3" t="s">
        <v>518</v>
      </c>
      <c r="B212" s="3" t="s">
        <v>194</v>
      </c>
      <c r="C212" s="10">
        <v>88263</v>
      </c>
      <c r="D212" s="10">
        <v>0</v>
      </c>
      <c r="E212" s="10">
        <v>260000</v>
      </c>
      <c r="F212" s="10">
        <v>48</v>
      </c>
      <c r="G212" s="16">
        <v>11.69</v>
      </c>
      <c r="H212" s="10">
        <v>744</v>
      </c>
      <c r="I212" s="10">
        <f t="shared" si="18"/>
        <v>6807.29017360902</v>
      </c>
      <c r="J212" s="12">
        <f t="shared" si="19"/>
        <v>0.077125071361828</v>
      </c>
      <c r="K212" s="3" t="b">
        <f t="shared" si="20"/>
        <v>1</v>
      </c>
      <c r="L212" s="3" t="b">
        <f t="shared" si="21"/>
        <v>1</v>
      </c>
      <c r="M212" s="3" t="str">
        <f t="shared" si="22"/>
        <v>Eligible</v>
      </c>
      <c r="N212" s="3" t="str">
        <f t="shared" si="23"/>
        <v/>
      </c>
      <c r="O212" s="3" t="s">
        <v>85</v>
      </c>
    </row>
    <row r="213" customHeight="1" spans="1:15">
      <c r="A213" s="3" t="s">
        <v>519</v>
      </c>
      <c r="B213" s="3" t="s">
        <v>345</v>
      </c>
      <c r="C213" s="10">
        <v>84714</v>
      </c>
      <c r="D213" s="10">
        <v>30032</v>
      </c>
      <c r="E213" s="10">
        <v>5020000</v>
      </c>
      <c r="F213" s="10">
        <v>240</v>
      </c>
      <c r="G213" s="16">
        <v>9.67</v>
      </c>
      <c r="H213" s="10">
        <v>672</v>
      </c>
      <c r="I213" s="10">
        <f t="shared" si="18"/>
        <v>47351.6707033425</v>
      </c>
      <c r="J213" s="12">
        <f t="shared" si="19"/>
        <v>0.913469682736531</v>
      </c>
      <c r="K213" s="3" t="b">
        <f t="shared" si="20"/>
        <v>0</v>
      </c>
      <c r="L213" s="3" t="b">
        <f t="shared" si="21"/>
        <v>0</v>
      </c>
      <c r="M213" s="3" t="str">
        <f t="shared" si="22"/>
        <v>Not Eligible</v>
      </c>
      <c r="N213" s="3" t="str">
        <f t="shared" si="23"/>
        <v>FOIR exceeds 50% and credit score below 700</v>
      </c>
      <c r="O213" s="3" t="s">
        <v>91</v>
      </c>
    </row>
    <row r="214" customHeight="1" spans="1:15">
      <c r="A214" s="3" t="s">
        <v>520</v>
      </c>
      <c r="B214" s="3" t="s">
        <v>521</v>
      </c>
      <c r="C214" s="10">
        <v>86877</v>
      </c>
      <c r="D214" s="10">
        <v>5358</v>
      </c>
      <c r="E214" s="10">
        <v>400000</v>
      </c>
      <c r="F214" s="10">
        <v>36</v>
      </c>
      <c r="G214" s="16">
        <v>13.85</v>
      </c>
      <c r="H214" s="10">
        <v>678</v>
      </c>
      <c r="I214" s="10">
        <f t="shared" si="18"/>
        <v>13641.9285573155</v>
      </c>
      <c r="J214" s="12">
        <f t="shared" si="19"/>
        <v>0.218699178808148</v>
      </c>
      <c r="K214" s="3" t="b">
        <f t="shared" si="20"/>
        <v>1</v>
      </c>
      <c r="L214" s="3" t="b">
        <f t="shared" si="21"/>
        <v>0</v>
      </c>
      <c r="M214" s="3" t="str">
        <f t="shared" si="22"/>
        <v>Not Eligible</v>
      </c>
      <c r="N214" s="3" t="str">
        <f t="shared" si="23"/>
        <v>Credit score below 700</v>
      </c>
      <c r="O214" s="3" t="s">
        <v>85</v>
      </c>
    </row>
    <row r="215" customHeight="1" spans="1:15">
      <c r="A215" s="3" t="s">
        <v>522</v>
      </c>
      <c r="B215" s="3" t="s">
        <v>523</v>
      </c>
      <c r="C215" s="10">
        <v>49987</v>
      </c>
      <c r="D215" s="10">
        <v>10824</v>
      </c>
      <c r="E215" s="10">
        <v>650000</v>
      </c>
      <c r="F215" s="10">
        <v>60</v>
      </c>
      <c r="G215" s="16">
        <v>14.53</v>
      </c>
      <c r="H215" s="10">
        <v>677</v>
      </c>
      <c r="I215" s="10">
        <f t="shared" si="18"/>
        <v>15303.5573850928</v>
      </c>
      <c r="J215" s="12">
        <f t="shared" si="19"/>
        <v>0.522687046333904</v>
      </c>
      <c r="K215" s="3" t="b">
        <f t="shared" si="20"/>
        <v>0</v>
      </c>
      <c r="L215" s="3" t="b">
        <f t="shared" si="21"/>
        <v>0</v>
      </c>
      <c r="M215" s="3" t="str">
        <f t="shared" si="22"/>
        <v>Not Eligible</v>
      </c>
      <c r="N215" s="3" t="str">
        <f t="shared" si="23"/>
        <v>FOIR exceeds 50% and credit score below 700</v>
      </c>
      <c r="O215" s="3" t="s">
        <v>85</v>
      </c>
    </row>
    <row r="216" customHeight="1" spans="1:15">
      <c r="A216" s="3" t="s">
        <v>524</v>
      </c>
      <c r="B216" s="3" t="s">
        <v>525</v>
      </c>
      <c r="C216" s="10">
        <v>30260</v>
      </c>
      <c r="D216" s="10">
        <v>1206</v>
      </c>
      <c r="E216" s="10">
        <v>290000</v>
      </c>
      <c r="F216" s="10">
        <v>36</v>
      </c>
      <c r="G216" s="16">
        <v>13.12</v>
      </c>
      <c r="H216" s="10">
        <v>713</v>
      </c>
      <c r="I216" s="10">
        <f t="shared" si="18"/>
        <v>9788.0163558492</v>
      </c>
      <c r="J216" s="12">
        <f t="shared" si="19"/>
        <v>0.363318451944785</v>
      </c>
      <c r="K216" s="3" t="b">
        <f t="shared" si="20"/>
        <v>1</v>
      </c>
      <c r="L216" s="3" t="b">
        <f t="shared" si="21"/>
        <v>1</v>
      </c>
      <c r="M216" s="3" t="str">
        <f t="shared" si="22"/>
        <v>Eligible</v>
      </c>
      <c r="N216" s="3" t="str">
        <f t="shared" si="23"/>
        <v/>
      </c>
      <c r="O216" s="3" t="s">
        <v>85</v>
      </c>
    </row>
    <row r="217" customHeight="1" spans="1:15">
      <c r="A217" s="3" t="s">
        <v>526</v>
      </c>
      <c r="B217" s="3" t="s">
        <v>527</v>
      </c>
      <c r="C217" s="10">
        <v>73515</v>
      </c>
      <c r="D217" s="10">
        <v>0</v>
      </c>
      <c r="E217" s="10">
        <v>140000</v>
      </c>
      <c r="F217" s="10">
        <v>36</v>
      </c>
      <c r="G217" s="16">
        <v>14.11</v>
      </c>
      <c r="H217" s="10">
        <v>712</v>
      </c>
      <c r="I217" s="10">
        <f t="shared" si="18"/>
        <v>4792.35120876261</v>
      </c>
      <c r="J217" s="12">
        <f t="shared" si="19"/>
        <v>0.0651887534348447</v>
      </c>
      <c r="K217" s="3" t="b">
        <f t="shared" si="20"/>
        <v>1</v>
      </c>
      <c r="L217" s="3" t="b">
        <f t="shared" si="21"/>
        <v>1</v>
      </c>
      <c r="M217" s="3" t="str">
        <f t="shared" si="22"/>
        <v>Eligible</v>
      </c>
      <c r="N217" s="3" t="str">
        <f t="shared" si="23"/>
        <v/>
      </c>
      <c r="O217" s="3" t="s">
        <v>85</v>
      </c>
    </row>
    <row r="218" customHeight="1" spans="1:15">
      <c r="A218" s="3" t="s">
        <v>528</v>
      </c>
      <c r="B218" s="3" t="s">
        <v>529</v>
      </c>
      <c r="C218" s="10">
        <v>40847</v>
      </c>
      <c r="D218" s="10">
        <v>0</v>
      </c>
      <c r="E218" s="10">
        <v>800000</v>
      </c>
      <c r="F218" s="10">
        <v>60</v>
      </c>
      <c r="G218" s="16">
        <v>13.92</v>
      </c>
      <c r="H218" s="10">
        <v>749</v>
      </c>
      <c r="I218" s="10">
        <f t="shared" si="18"/>
        <v>18581.4373436176</v>
      </c>
      <c r="J218" s="12">
        <f t="shared" si="19"/>
        <v>0.454903355047313</v>
      </c>
      <c r="K218" s="3" t="b">
        <f t="shared" si="20"/>
        <v>1</v>
      </c>
      <c r="L218" s="3" t="b">
        <f t="shared" si="21"/>
        <v>1</v>
      </c>
      <c r="M218" s="3" t="str">
        <f t="shared" si="22"/>
        <v>Eligible</v>
      </c>
      <c r="N218" s="3" t="str">
        <f t="shared" si="23"/>
        <v/>
      </c>
      <c r="O218" s="3" t="s">
        <v>85</v>
      </c>
    </row>
    <row r="219" customHeight="1" spans="1:15">
      <c r="A219" s="3" t="s">
        <v>530</v>
      </c>
      <c r="B219" s="3" t="s">
        <v>531</v>
      </c>
      <c r="C219" s="10">
        <v>26509</v>
      </c>
      <c r="D219" s="10">
        <v>2089</v>
      </c>
      <c r="E219" s="10">
        <v>1060000</v>
      </c>
      <c r="F219" s="10">
        <v>240</v>
      </c>
      <c r="G219" s="16">
        <v>9.39</v>
      </c>
      <c r="H219" s="10">
        <v>733</v>
      </c>
      <c r="I219" s="10">
        <f t="shared" si="18"/>
        <v>9804.57386329826</v>
      </c>
      <c r="J219" s="12">
        <f t="shared" si="19"/>
        <v>0.448661732366301</v>
      </c>
      <c r="K219" s="3" t="b">
        <f t="shared" si="20"/>
        <v>1</v>
      </c>
      <c r="L219" s="3" t="b">
        <f t="shared" si="21"/>
        <v>1</v>
      </c>
      <c r="M219" s="3" t="str">
        <f t="shared" si="22"/>
        <v>Eligible</v>
      </c>
      <c r="N219" s="3" t="str">
        <f t="shared" si="23"/>
        <v/>
      </c>
      <c r="O219" s="3" t="s">
        <v>85</v>
      </c>
    </row>
    <row r="220" customHeight="1" spans="1:15">
      <c r="A220" s="3" t="s">
        <v>532</v>
      </c>
      <c r="B220" s="3" t="s">
        <v>533</v>
      </c>
      <c r="C220" s="10">
        <v>57845</v>
      </c>
      <c r="D220" s="10">
        <v>24680</v>
      </c>
      <c r="E220" s="10">
        <v>3550000</v>
      </c>
      <c r="F220" s="10">
        <v>240</v>
      </c>
      <c r="G220" s="16">
        <v>9.77</v>
      </c>
      <c r="H220" s="10">
        <v>799</v>
      </c>
      <c r="I220" s="10">
        <f t="shared" si="18"/>
        <v>33719.0672039696</v>
      </c>
      <c r="J220" s="12">
        <f t="shared" si="19"/>
        <v>1.00957848049044</v>
      </c>
      <c r="K220" s="3" t="b">
        <f t="shared" si="20"/>
        <v>0</v>
      </c>
      <c r="L220" s="3" t="b">
        <f t="shared" si="21"/>
        <v>1</v>
      </c>
      <c r="M220" s="3" t="str">
        <f t="shared" si="22"/>
        <v>Not Eligible</v>
      </c>
      <c r="N220" s="3" t="str">
        <f t="shared" si="23"/>
        <v>FOIR exceeds 50%</v>
      </c>
      <c r="O220" s="3" t="s">
        <v>85</v>
      </c>
    </row>
    <row r="221" customHeight="1" spans="1:15">
      <c r="A221" s="3" t="s">
        <v>534</v>
      </c>
      <c r="B221" s="3" t="s">
        <v>535</v>
      </c>
      <c r="C221" s="10">
        <v>50317</v>
      </c>
      <c r="D221" s="10">
        <v>524</v>
      </c>
      <c r="E221" s="10">
        <v>1300000</v>
      </c>
      <c r="F221" s="10">
        <v>84</v>
      </c>
      <c r="G221" s="16">
        <v>10.27</v>
      </c>
      <c r="H221" s="10">
        <v>710</v>
      </c>
      <c r="I221" s="10">
        <f t="shared" si="18"/>
        <v>21763.3324070238</v>
      </c>
      <c r="J221" s="12">
        <f t="shared" si="19"/>
        <v>0.442938418566763</v>
      </c>
      <c r="K221" s="3" t="b">
        <f t="shared" si="20"/>
        <v>1</v>
      </c>
      <c r="L221" s="3" t="b">
        <f t="shared" si="21"/>
        <v>1</v>
      </c>
      <c r="M221" s="3" t="str">
        <f t="shared" si="22"/>
        <v>Eligible</v>
      </c>
      <c r="N221" s="3" t="str">
        <f t="shared" si="23"/>
        <v/>
      </c>
      <c r="O221" s="3" t="s">
        <v>85</v>
      </c>
    </row>
    <row r="222" customHeight="1" spans="1:15">
      <c r="A222" s="3" t="s">
        <v>536</v>
      </c>
      <c r="B222" s="3" t="s">
        <v>537</v>
      </c>
      <c r="C222" s="10">
        <v>91843</v>
      </c>
      <c r="D222" s="10">
        <v>0</v>
      </c>
      <c r="E222" s="10">
        <v>180000</v>
      </c>
      <c r="F222" s="10">
        <v>36</v>
      </c>
      <c r="G222" s="16">
        <v>13.23</v>
      </c>
      <c r="H222" s="10">
        <v>723</v>
      </c>
      <c r="I222" s="10">
        <f t="shared" si="18"/>
        <v>6084.87139016724</v>
      </c>
      <c r="J222" s="12">
        <f t="shared" si="19"/>
        <v>0.0662529685459669</v>
      </c>
      <c r="K222" s="3" t="b">
        <f t="shared" si="20"/>
        <v>1</v>
      </c>
      <c r="L222" s="3" t="b">
        <f t="shared" si="21"/>
        <v>1</v>
      </c>
      <c r="M222" s="3" t="str">
        <f t="shared" si="22"/>
        <v>Eligible</v>
      </c>
      <c r="N222" s="3" t="str">
        <f t="shared" si="23"/>
        <v/>
      </c>
      <c r="O222" s="3" t="s">
        <v>85</v>
      </c>
    </row>
    <row r="223" customHeight="1" spans="1:15">
      <c r="A223" s="3" t="s">
        <v>538</v>
      </c>
      <c r="B223" s="3" t="s">
        <v>539</v>
      </c>
      <c r="C223" s="10">
        <v>85429</v>
      </c>
      <c r="D223" s="10">
        <v>0</v>
      </c>
      <c r="E223" s="10">
        <v>270000</v>
      </c>
      <c r="F223" s="10">
        <v>48</v>
      </c>
      <c r="G223" s="16">
        <v>11.63</v>
      </c>
      <c r="H223" s="10">
        <v>622</v>
      </c>
      <c r="I223" s="10">
        <f t="shared" si="18"/>
        <v>7061.18445106399</v>
      </c>
      <c r="J223" s="12">
        <f t="shared" si="19"/>
        <v>0.0826555906198597</v>
      </c>
      <c r="K223" s="3" t="b">
        <f t="shared" si="20"/>
        <v>1</v>
      </c>
      <c r="L223" s="3" t="b">
        <f t="shared" si="21"/>
        <v>0</v>
      </c>
      <c r="M223" s="3" t="str">
        <f t="shared" si="22"/>
        <v>Not Eligible</v>
      </c>
      <c r="N223" s="3" t="str">
        <f t="shared" si="23"/>
        <v>Credit score below 700</v>
      </c>
      <c r="O223" s="3" t="s">
        <v>85</v>
      </c>
    </row>
    <row r="224" customHeight="1" spans="1:15">
      <c r="A224" s="3" t="s">
        <v>540</v>
      </c>
      <c r="B224" s="3" t="s">
        <v>541</v>
      </c>
      <c r="C224" s="10">
        <v>42915</v>
      </c>
      <c r="D224" s="10">
        <v>16035</v>
      </c>
      <c r="E224" s="10">
        <v>3300000</v>
      </c>
      <c r="F224" s="10">
        <v>240</v>
      </c>
      <c r="G224" s="16">
        <v>8.49</v>
      </c>
      <c r="H224" s="10">
        <v>597</v>
      </c>
      <c r="I224" s="10">
        <f t="shared" si="18"/>
        <v>28617.2839286975</v>
      </c>
      <c r="J224" s="12">
        <f t="shared" si="19"/>
        <v>1.04048197433759</v>
      </c>
      <c r="K224" s="3" t="b">
        <f t="shared" si="20"/>
        <v>0</v>
      </c>
      <c r="L224" s="3" t="b">
        <f t="shared" si="21"/>
        <v>0</v>
      </c>
      <c r="M224" s="3" t="str">
        <f t="shared" si="22"/>
        <v>Not Eligible</v>
      </c>
      <c r="N224" s="3" t="str">
        <f t="shared" si="23"/>
        <v>FOIR exceeds 50% and credit score below 700</v>
      </c>
      <c r="O224" s="3" t="s">
        <v>91</v>
      </c>
    </row>
    <row r="225" customHeight="1" spans="1:15">
      <c r="A225" s="3" t="s">
        <v>542</v>
      </c>
      <c r="B225" s="3" t="s">
        <v>543</v>
      </c>
      <c r="C225" s="10">
        <v>53377</v>
      </c>
      <c r="D225" s="10">
        <v>0</v>
      </c>
      <c r="E225" s="10">
        <v>780000</v>
      </c>
      <c r="F225" s="10">
        <v>60</v>
      </c>
      <c r="G225" s="16">
        <v>9.79</v>
      </c>
      <c r="H225" s="10">
        <v>712</v>
      </c>
      <c r="I225" s="10">
        <f t="shared" si="18"/>
        <v>16492.2136900258</v>
      </c>
      <c r="J225" s="12">
        <f t="shared" si="19"/>
        <v>0.308976032561324</v>
      </c>
      <c r="K225" s="3" t="b">
        <f t="shared" si="20"/>
        <v>1</v>
      </c>
      <c r="L225" s="3" t="b">
        <f t="shared" si="21"/>
        <v>1</v>
      </c>
      <c r="M225" s="3" t="str">
        <f t="shared" si="22"/>
        <v>Eligible</v>
      </c>
      <c r="N225" s="3" t="str">
        <f t="shared" si="23"/>
        <v/>
      </c>
      <c r="O225" s="3" t="s">
        <v>85</v>
      </c>
    </row>
    <row r="226" customHeight="1" spans="1:15">
      <c r="A226" s="3" t="s">
        <v>544</v>
      </c>
      <c r="B226" s="3" t="s">
        <v>545</v>
      </c>
      <c r="C226" s="10">
        <v>61391</v>
      </c>
      <c r="D226" s="10">
        <v>0</v>
      </c>
      <c r="E226" s="10">
        <v>780000</v>
      </c>
      <c r="F226" s="10">
        <v>60</v>
      </c>
      <c r="G226" s="16">
        <v>14.12</v>
      </c>
      <c r="H226" s="10">
        <v>659</v>
      </c>
      <c r="I226" s="10">
        <f t="shared" si="18"/>
        <v>18197.7978901584</v>
      </c>
      <c r="J226" s="12">
        <f t="shared" si="19"/>
        <v>0.296424522978261</v>
      </c>
      <c r="K226" s="3" t="b">
        <f t="shared" si="20"/>
        <v>1</v>
      </c>
      <c r="L226" s="3" t="b">
        <f t="shared" si="21"/>
        <v>0</v>
      </c>
      <c r="M226" s="3" t="str">
        <f t="shared" si="22"/>
        <v>Not Eligible</v>
      </c>
      <c r="N226" s="3" t="str">
        <f t="shared" si="23"/>
        <v>Credit score below 700</v>
      </c>
      <c r="O226" s="3" t="s">
        <v>85</v>
      </c>
    </row>
    <row r="227" customHeight="1" spans="1:15">
      <c r="A227" s="3" t="s">
        <v>546</v>
      </c>
      <c r="B227" s="3" t="s">
        <v>236</v>
      </c>
      <c r="C227" s="10">
        <v>43119</v>
      </c>
      <c r="D227" s="10">
        <v>0</v>
      </c>
      <c r="E227" s="10">
        <v>1050000</v>
      </c>
      <c r="F227" s="10">
        <v>60</v>
      </c>
      <c r="G227" s="16">
        <v>9.14</v>
      </c>
      <c r="H227" s="10">
        <v>730</v>
      </c>
      <c r="I227" s="10">
        <f t="shared" si="18"/>
        <v>21867.6859498986</v>
      </c>
      <c r="J227" s="12">
        <f t="shared" si="19"/>
        <v>0.507147335279078</v>
      </c>
      <c r="K227" s="3" t="b">
        <f t="shared" si="20"/>
        <v>0</v>
      </c>
      <c r="L227" s="3" t="b">
        <f t="shared" si="21"/>
        <v>1</v>
      </c>
      <c r="M227" s="3" t="str">
        <f t="shared" si="22"/>
        <v>Not Eligible</v>
      </c>
      <c r="N227" s="3" t="str">
        <f t="shared" si="23"/>
        <v>FOIR exceeds 50%</v>
      </c>
      <c r="O227" s="3" t="s">
        <v>85</v>
      </c>
    </row>
    <row r="228" customHeight="1" spans="1:15">
      <c r="A228" s="3" t="s">
        <v>547</v>
      </c>
      <c r="B228" s="3" t="s">
        <v>548</v>
      </c>
      <c r="C228" s="10">
        <v>42088</v>
      </c>
      <c r="D228" s="10">
        <v>4783</v>
      </c>
      <c r="E228" s="10">
        <v>3040000</v>
      </c>
      <c r="F228" s="10">
        <v>240</v>
      </c>
      <c r="G228" s="16">
        <v>9.28</v>
      </c>
      <c r="H228" s="10">
        <v>721</v>
      </c>
      <c r="I228" s="10">
        <f t="shared" si="18"/>
        <v>27901.4872139219</v>
      </c>
      <c r="J228" s="12">
        <f t="shared" si="19"/>
        <v>0.776574967067142</v>
      </c>
      <c r="K228" s="3" t="b">
        <f t="shared" si="20"/>
        <v>0</v>
      </c>
      <c r="L228" s="3" t="b">
        <f t="shared" si="21"/>
        <v>1</v>
      </c>
      <c r="M228" s="3" t="str">
        <f t="shared" si="22"/>
        <v>Not Eligible</v>
      </c>
      <c r="N228" s="3" t="str">
        <f t="shared" si="23"/>
        <v>FOIR exceeds 50%</v>
      </c>
      <c r="O228" s="3" t="s">
        <v>85</v>
      </c>
    </row>
    <row r="229" customHeight="1" spans="1:15">
      <c r="A229" s="3" t="s">
        <v>549</v>
      </c>
      <c r="B229" s="3" t="s">
        <v>550</v>
      </c>
      <c r="C229" s="10">
        <v>85615</v>
      </c>
      <c r="D229" s="10">
        <v>0</v>
      </c>
      <c r="E229" s="10">
        <v>1250000</v>
      </c>
      <c r="F229" s="10">
        <v>84</v>
      </c>
      <c r="G229" s="16">
        <v>11.03</v>
      </c>
      <c r="H229" s="10">
        <v>743</v>
      </c>
      <c r="I229" s="10">
        <f t="shared" si="18"/>
        <v>21422.7678343709</v>
      </c>
      <c r="J229" s="12">
        <f t="shared" si="19"/>
        <v>0.25022213203727</v>
      </c>
      <c r="K229" s="3" t="b">
        <f t="shared" si="20"/>
        <v>1</v>
      </c>
      <c r="L229" s="3" t="b">
        <f t="shared" si="21"/>
        <v>1</v>
      </c>
      <c r="M229" s="3" t="str">
        <f t="shared" si="22"/>
        <v>Eligible</v>
      </c>
      <c r="N229" s="3" t="str">
        <f t="shared" si="23"/>
        <v/>
      </c>
      <c r="O229" s="3" t="s">
        <v>85</v>
      </c>
    </row>
    <row r="230" customHeight="1" spans="1:15">
      <c r="A230" s="3" t="s">
        <v>551</v>
      </c>
      <c r="B230" s="3" t="s">
        <v>552</v>
      </c>
      <c r="C230" s="10">
        <v>67411</v>
      </c>
      <c r="D230" s="10">
        <v>0</v>
      </c>
      <c r="E230" s="10">
        <v>120000</v>
      </c>
      <c r="F230" s="10">
        <v>36</v>
      </c>
      <c r="G230" s="16">
        <v>14.07</v>
      </c>
      <c r="H230" s="10">
        <v>685</v>
      </c>
      <c r="I230" s="10">
        <f t="shared" si="18"/>
        <v>4105.39655519927</v>
      </c>
      <c r="J230" s="12">
        <f t="shared" si="19"/>
        <v>0.0609009887881691</v>
      </c>
      <c r="K230" s="3" t="b">
        <f t="shared" si="20"/>
        <v>1</v>
      </c>
      <c r="L230" s="3" t="b">
        <f t="shared" si="21"/>
        <v>0</v>
      </c>
      <c r="M230" s="3" t="str">
        <f t="shared" si="22"/>
        <v>Not Eligible</v>
      </c>
      <c r="N230" s="3" t="str">
        <f t="shared" si="23"/>
        <v>Credit score below 700</v>
      </c>
      <c r="O230" s="3" t="s">
        <v>85</v>
      </c>
    </row>
    <row r="231" customHeight="1" spans="1:15">
      <c r="A231" s="3" t="s">
        <v>553</v>
      </c>
      <c r="B231" s="3" t="s">
        <v>554</v>
      </c>
      <c r="C231" s="10">
        <v>62699</v>
      </c>
      <c r="D231" s="10">
        <v>15162</v>
      </c>
      <c r="E231" s="10">
        <v>1270000</v>
      </c>
      <c r="F231" s="10">
        <v>60</v>
      </c>
      <c r="G231" s="16">
        <v>13.72</v>
      </c>
      <c r="H231" s="10">
        <v>705</v>
      </c>
      <c r="I231" s="10">
        <f t="shared" si="18"/>
        <v>29366.6462149112</v>
      </c>
      <c r="J231" s="12">
        <f t="shared" si="19"/>
        <v>0.710197071961454</v>
      </c>
      <c r="K231" s="3" t="b">
        <f t="shared" si="20"/>
        <v>0</v>
      </c>
      <c r="L231" s="3" t="b">
        <f t="shared" si="21"/>
        <v>1</v>
      </c>
      <c r="M231" s="3" t="str">
        <f t="shared" si="22"/>
        <v>Not Eligible</v>
      </c>
      <c r="N231" s="3" t="str">
        <f t="shared" si="23"/>
        <v>FOIR exceeds 50%</v>
      </c>
      <c r="O231" s="3" t="s">
        <v>85</v>
      </c>
    </row>
    <row r="232" customHeight="1" spans="1:15">
      <c r="A232" s="3" t="s">
        <v>555</v>
      </c>
      <c r="B232" s="3" t="s">
        <v>556</v>
      </c>
      <c r="C232" s="10">
        <v>69629</v>
      </c>
      <c r="D232" s="10">
        <v>11126</v>
      </c>
      <c r="E232" s="10">
        <v>490000</v>
      </c>
      <c r="F232" s="10">
        <v>60</v>
      </c>
      <c r="G232" s="16">
        <v>15.02</v>
      </c>
      <c r="H232" s="10">
        <v>707</v>
      </c>
      <c r="I232" s="10">
        <f t="shared" si="18"/>
        <v>11662.2105146017</v>
      </c>
      <c r="J232" s="12">
        <f t="shared" si="19"/>
        <v>0.327280450883996</v>
      </c>
      <c r="K232" s="3" t="b">
        <f t="shared" si="20"/>
        <v>1</v>
      </c>
      <c r="L232" s="3" t="b">
        <f t="shared" si="21"/>
        <v>1</v>
      </c>
      <c r="M232" s="3" t="str">
        <f t="shared" si="22"/>
        <v>Eligible</v>
      </c>
      <c r="N232" s="3" t="str">
        <f t="shared" si="23"/>
        <v/>
      </c>
      <c r="O232" s="3" t="s">
        <v>85</v>
      </c>
    </row>
    <row r="233" customHeight="1" spans="1:15">
      <c r="A233" s="3" t="s">
        <v>557</v>
      </c>
      <c r="B233" s="3" t="s">
        <v>434</v>
      </c>
      <c r="C233" s="10">
        <v>57788</v>
      </c>
      <c r="D233" s="10">
        <v>6108</v>
      </c>
      <c r="E233" s="10">
        <v>450000</v>
      </c>
      <c r="F233" s="10">
        <v>60</v>
      </c>
      <c r="G233" s="16">
        <v>10.09</v>
      </c>
      <c r="H233" s="10">
        <v>675</v>
      </c>
      <c r="I233" s="10">
        <f t="shared" si="18"/>
        <v>9581.10996048008</v>
      </c>
      <c r="J233" s="12">
        <f t="shared" si="19"/>
        <v>0.271494254178724</v>
      </c>
      <c r="K233" s="3" t="b">
        <f t="shared" si="20"/>
        <v>1</v>
      </c>
      <c r="L233" s="3" t="b">
        <f t="shared" si="21"/>
        <v>0</v>
      </c>
      <c r="M233" s="3" t="str">
        <f t="shared" si="22"/>
        <v>Not Eligible</v>
      </c>
      <c r="N233" s="3" t="str">
        <f t="shared" si="23"/>
        <v>Credit score below 700</v>
      </c>
      <c r="O233" s="3" t="s">
        <v>85</v>
      </c>
    </row>
    <row r="234" customHeight="1" spans="1:15">
      <c r="A234" s="3" t="s">
        <v>558</v>
      </c>
      <c r="B234" s="3" t="s">
        <v>559</v>
      </c>
      <c r="C234" s="10">
        <v>66570</v>
      </c>
      <c r="D234" s="10">
        <v>0</v>
      </c>
      <c r="E234" s="10">
        <v>3720000</v>
      </c>
      <c r="F234" s="10">
        <v>240</v>
      </c>
      <c r="G234" s="16">
        <v>9.47</v>
      </c>
      <c r="H234" s="10">
        <v>832</v>
      </c>
      <c r="I234" s="10">
        <f t="shared" si="18"/>
        <v>34602.4362484627</v>
      </c>
      <c r="J234" s="12">
        <f t="shared" si="19"/>
        <v>0.519790239574323</v>
      </c>
      <c r="K234" s="3" t="b">
        <f t="shared" si="20"/>
        <v>0</v>
      </c>
      <c r="L234" s="3" t="b">
        <f t="shared" si="21"/>
        <v>1</v>
      </c>
      <c r="M234" s="3" t="str">
        <f t="shared" si="22"/>
        <v>Not Eligible</v>
      </c>
      <c r="N234" s="3" t="str">
        <f t="shared" si="23"/>
        <v>FOIR exceeds 50%</v>
      </c>
      <c r="O234" s="3" t="s">
        <v>85</v>
      </c>
    </row>
    <row r="235" customHeight="1" spans="1:15">
      <c r="A235" s="3" t="s">
        <v>560</v>
      </c>
      <c r="B235" s="3" t="s">
        <v>357</v>
      </c>
      <c r="C235" s="10">
        <v>39759</v>
      </c>
      <c r="D235" s="10">
        <v>5323</v>
      </c>
      <c r="E235" s="10">
        <v>710000</v>
      </c>
      <c r="F235" s="10">
        <v>60</v>
      </c>
      <c r="G235" s="16">
        <v>14.71</v>
      </c>
      <c r="H235" s="10">
        <v>659</v>
      </c>
      <c r="I235" s="10">
        <f t="shared" si="18"/>
        <v>16782.9635877025</v>
      </c>
      <c r="J235" s="12">
        <f t="shared" si="19"/>
        <v>0.555998983568564</v>
      </c>
      <c r="K235" s="3" t="b">
        <f t="shared" si="20"/>
        <v>0</v>
      </c>
      <c r="L235" s="3" t="b">
        <f t="shared" si="21"/>
        <v>0</v>
      </c>
      <c r="M235" s="3" t="str">
        <f t="shared" si="22"/>
        <v>Not Eligible</v>
      </c>
      <c r="N235" s="3" t="str">
        <f t="shared" si="23"/>
        <v>FOIR exceeds 50% and credit score below 700</v>
      </c>
      <c r="O235" s="3" t="s">
        <v>85</v>
      </c>
    </row>
    <row r="236" customHeight="1" spans="1:15">
      <c r="A236" s="3" t="s">
        <v>561</v>
      </c>
      <c r="B236" s="3" t="s">
        <v>562</v>
      </c>
      <c r="C236" s="10">
        <v>43068</v>
      </c>
      <c r="D236" s="10">
        <v>4969</v>
      </c>
      <c r="E236" s="10">
        <v>610000</v>
      </c>
      <c r="F236" s="10">
        <v>48</v>
      </c>
      <c r="G236" s="16">
        <v>10.89</v>
      </c>
      <c r="H236" s="10">
        <v>774</v>
      </c>
      <c r="I236" s="10">
        <f t="shared" si="18"/>
        <v>15733.2028414903</v>
      </c>
      <c r="J236" s="12">
        <f t="shared" si="19"/>
        <v>0.480686422436386</v>
      </c>
      <c r="K236" s="3" t="b">
        <f t="shared" si="20"/>
        <v>1</v>
      </c>
      <c r="L236" s="3" t="b">
        <f t="shared" si="21"/>
        <v>1</v>
      </c>
      <c r="M236" s="3" t="str">
        <f t="shared" si="22"/>
        <v>Eligible</v>
      </c>
      <c r="N236" s="3" t="str">
        <f t="shared" si="23"/>
        <v/>
      </c>
      <c r="O236" s="3" t="s">
        <v>85</v>
      </c>
    </row>
    <row r="237" customHeight="1" spans="1:15">
      <c r="A237" s="3" t="s">
        <v>563</v>
      </c>
      <c r="B237" s="3" t="s">
        <v>564</v>
      </c>
      <c r="C237" s="10">
        <v>48084</v>
      </c>
      <c r="D237" s="10">
        <v>1334</v>
      </c>
      <c r="E237" s="10">
        <v>5200000</v>
      </c>
      <c r="F237" s="10">
        <v>240</v>
      </c>
      <c r="G237" s="16">
        <v>9.2</v>
      </c>
      <c r="H237" s="10">
        <v>657</v>
      </c>
      <c r="I237" s="10">
        <f t="shared" si="18"/>
        <v>47456.6929725329</v>
      </c>
      <c r="J237" s="12">
        <f t="shared" si="19"/>
        <v>1.01469705042286</v>
      </c>
      <c r="K237" s="3" t="b">
        <f t="shared" si="20"/>
        <v>0</v>
      </c>
      <c r="L237" s="3" t="b">
        <f t="shared" si="21"/>
        <v>0</v>
      </c>
      <c r="M237" s="3" t="str">
        <f t="shared" si="22"/>
        <v>Not Eligible</v>
      </c>
      <c r="N237" s="3" t="str">
        <f t="shared" si="23"/>
        <v>FOIR exceeds 50% and credit score below 700</v>
      </c>
      <c r="O237" s="3" t="s">
        <v>85</v>
      </c>
    </row>
    <row r="238" customHeight="1" spans="1:15">
      <c r="A238" s="3" t="s">
        <v>565</v>
      </c>
      <c r="B238" s="3" t="s">
        <v>566</v>
      </c>
      <c r="C238" s="10">
        <v>40445</v>
      </c>
      <c r="D238" s="10">
        <v>0</v>
      </c>
      <c r="E238" s="10">
        <v>370000</v>
      </c>
      <c r="F238" s="10">
        <v>60</v>
      </c>
      <c r="G238" s="16">
        <v>10.04</v>
      </c>
      <c r="H238" s="10">
        <v>719</v>
      </c>
      <c r="I238" s="10">
        <f t="shared" si="18"/>
        <v>7868.69072658496</v>
      </c>
      <c r="J238" s="12">
        <f t="shared" si="19"/>
        <v>0.194552867513536</v>
      </c>
      <c r="K238" s="3" t="b">
        <f t="shared" si="20"/>
        <v>1</v>
      </c>
      <c r="L238" s="3" t="b">
        <f t="shared" si="21"/>
        <v>1</v>
      </c>
      <c r="M238" s="3" t="str">
        <f t="shared" si="22"/>
        <v>Eligible</v>
      </c>
      <c r="N238" s="3" t="str">
        <f t="shared" si="23"/>
        <v/>
      </c>
      <c r="O238" s="3" t="s">
        <v>85</v>
      </c>
    </row>
    <row r="239" customHeight="1" spans="1:15">
      <c r="A239" s="3" t="s">
        <v>567</v>
      </c>
      <c r="B239" s="3" t="s">
        <v>568</v>
      </c>
      <c r="C239" s="10">
        <v>42144</v>
      </c>
      <c r="D239" s="10">
        <v>1231</v>
      </c>
      <c r="E239" s="10">
        <v>1180000</v>
      </c>
      <c r="F239" s="10">
        <v>60</v>
      </c>
      <c r="G239" s="16">
        <v>13.97</v>
      </c>
      <c r="H239" s="10">
        <v>722</v>
      </c>
      <c r="I239" s="10">
        <f t="shared" si="18"/>
        <v>27438.1867764542</v>
      </c>
      <c r="J239" s="12">
        <f t="shared" si="19"/>
        <v>0.680267339987998</v>
      </c>
      <c r="K239" s="3" t="b">
        <f t="shared" si="20"/>
        <v>0</v>
      </c>
      <c r="L239" s="3" t="b">
        <f t="shared" si="21"/>
        <v>1</v>
      </c>
      <c r="M239" s="3" t="str">
        <f t="shared" si="22"/>
        <v>Not Eligible</v>
      </c>
      <c r="N239" s="3" t="str">
        <f t="shared" si="23"/>
        <v>FOIR exceeds 50%</v>
      </c>
      <c r="O239" s="3" t="s">
        <v>85</v>
      </c>
    </row>
    <row r="240" customHeight="1" spans="1:15">
      <c r="A240" s="3" t="s">
        <v>569</v>
      </c>
      <c r="B240" s="3" t="s">
        <v>570</v>
      </c>
      <c r="C240" s="10">
        <v>32081</v>
      </c>
      <c r="D240" s="10">
        <v>0</v>
      </c>
      <c r="E240" s="10">
        <v>310000</v>
      </c>
      <c r="F240" s="10">
        <v>36</v>
      </c>
      <c r="G240" s="16">
        <v>13.48</v>
      </c>
      <c r="H240" s="10">
        <v>754</v>
      </c>
      <c r="I240" s="10">
        <f t="shared" si="18"/>
        <v>10516.9405165272</v>
      </c>
      <c r="J240" s="12">
        <f t="shared" si="19"/>
        <v>0.327824585160289</v>
      </c>
      <c r="K240" s="3" t="b">
        <f t="shared" si="20"/>
        <v>1</v>
      </c>
      <c r="L240" s="3" t="b">
        <f t="shared" si="21"/>
        <v>1</v>
      </c>
      <c r="M240" s="3" t="str">
        <f t="shared" si="22"/>
        <v>Eligible</v>
      </c>
      <c r="N240" s="3" t="str">
        <f t="shared" si="23"/>
        <v/>
      </c>
      <c r="O240" s="3" t="s">
        <v>85</v>
      </c>
    </row>
    <row r="241" customHeight="1" spans="1:15">
      <c r="A241" s="3" t="s">
        <v>571</v>
      </c>
      <c r="B241" s="3" t="s">
        <v>392</v>
      </c>
      <c r="C241" s="10">
        <v>31573</v>
      </c>
      <c r="D241" s="10">
        <v>7215</v>
      </c>
      <c r="E241" s="10">
        <v>470000</v>
      </c>
      <c r="F241" s="10">
        <v>60</v>
      </c>
      <c r="G241" s="16">
        <v>14.11</v>
      </c>
      <c r="H241" s="10">
        <v>738</v>
      </c>
      <c r="I241" s="10">
        <f t="shared" si="18"/>
        <v>10962.8995867631</v>
      </c>
      <c r="J241" s="12">
        <f t="shared" si="19"/>
        <v>0.575741918308781</v>
      </c>
      <c r="K241" s="3" t="b">
        <f t="shared" si="20"/>
        <v>0</v>
      </c>
      <c r="L241" s="3" t="b">
        <f t="shared" si="21"/>
        <v>1</v>
      </c>
      <c r="M241" s="3" t="str">
        <f t="shared" si="22"/>
        <v>Not Eligible</v>
      </c>
      <c r="N241" s="3" t="str">
        <f t="shared" si="23"/>
        <v>FOIR exceeds 50%</v>
      </c>
      <c r="O241" s="3" t="s">
        <v>85</v>
      </c>
    </row>
    <row r="242" customHeight="1" spans="1:15">
      <c r="A242" s="3" t="s">
        <v>572</v>
      </c>
      <c r="B242" s="3" t="s">
        <v>573</v>
      </c>
      <c r="C242" s="10">
        <v>27395</v>
      </c>
      <c r="D242" s="10">
        <v>1160</v>
      </c>
      <c r="E242" s="10">
        <v>280000</v>
      </c>
      <c r="F242" s="10">
        <v>48</v>
      </c>
      <c r="G242" s="16">
        <v>11.66</v>
      </c>
      <c r="H242" s="10">
        <v>600</v>
      </c>
      <c r="I242" s="10">
        <f t="shared" si="18"/>
        <v>7326.81816523339</v>
      </c>
      <c r="J242" s="12">
        <f t="shared" si="19"/>
        <v>0.309794421070757</v>
      </c>
      <c r="K242" s="3" t="b">
        <f t="shared" si="20"/>
        <v>1</v>
      </c>
      <c r="L242" s="3" t="b">
        <f t="shared" si="21"/>
        <v>0</v>
      </c>
      <c r="M242" s="3" t="str">
        <f t="shared" si="22"/>
        <v>Not Eligible</v>
      </c>
      <c r="N242" s="3" t="str">
        <f t="shared" si="23"/>
        <v>Credit score below 700</v>
      </c>
      <c r="O242" s="3" t="s">
        <v>91</v>
      </c>
    </row>
    <row r="243" customHeight="1" spans="1:15">
      <c r="A243" s="3" t="s">
        <v>574</v>
      </c>
      <c r="B243" s="3" t="s">
        <v>575</v>
      </c>
      <c r="C243" s="10">
        <v>63491</v>
      </c>
      <c r="D243" s="10">
        <v>1585</v>
      </c>
      <c r="E243" s="10">
        <v>1040000</v>
      </c>
      <c r="F243" s="10">
        <v>84</v>
      </c>
      <c r="G243" s="16">
        <v>11.32</v>
      </c>
      <c r="H243" s="10">
        <v>854</v>
      </c>
      <c r="I243" s="10">
        <f t="shared" si="18"/>
        <v>17982.7985003705</v>
      </c>
      <c r="J243" s="12">
        <f t="shared" si="19"/>
        <v>0.308197988697145</v>
      </c>
      <c r="K243" s="3" t="b">
        <f t="shared" si="20"/>
        <v>1</v>
      </c>
      <c r="L243" s="3" t="b">
        <f t="shared" si="21"/>
        <v>1</v>
      </c>
      <c r="M243" s="3" t="str">
        <f t="shared" si="22"/>
        <v>Eligible</v>
      </c>
      <c r="N243" s="3" t="str">
        <f t="shared" si="23"/>
        <v/>
      </c>
      <c r="O243" s="3" t="s">
        <v>85</v>
      </c>
    </row>
    <row r="244" customHeight="1" spans="1:15">
      <c r="A244" s="3" t="s">
        <v>576</v>
      </c>
      <c r="B244" s="3" t="s">
        <v>577</v>
      </c>
      <c r="C244" s="10">
        <v>172754</v>
      </c>
      <c r="D244" s="10">
        <v>56555</v>
      </c>
      <c r="E244" s="10">
        <v>350000</v>
      </c>
      <c r="F244" s="10">
        <v>36</v>
      </c>
      <c r="G244" s="16">
        <v>13.86</v>
      </c>
      <c r="H244" s="10">
        <v>549</v>
      </c>
      <c r="I244" s="10">
        <f t="shared" si="18"/>
        <v>11938.3853639872</v>
      </c>
      <c r="J244" s="12">
        <f t="shared" si="19"/>
        <v>0.396479302152119</v>
      </c>
      <c r="K244" s="3" t="b">
        <f t="shared" si="20"/>
        <v>1</v>
      </c>
      <c r="L244" s="3" t="b">
        <f t="shared" si="21"/>
        <v>0</v>
      </c>
      <c r="M244" s="3" t="str">
        <f t="shared" si="22"/>
        <v>Not Eligible</v>
      </c>
      <c r="N244" s="3" t="str">
        <f t="shared" si="23"/>
        <v>Credit score below 700</v>
      </c>
      <c r="O244" s="3" t="s">
        <v>85</v>
      </c>
    </row>
    <row r="245" customHeight="1" spans="1:15">
      <c r="A245" s="3" t="s">
        <v>578</v>
      </c>
      <c r="B245" s="3" t="s">
        <v>213</v>
      </c>
      <c r="C245" s="10">
        <v>38189</v>
      </c>
      <c r="D245" s="10">
        <v>8459</v>
      </c>
      <c r="E245" s="10">
        <v>270000</v>
      </c>
      <c r="F245" s="10">
        <v>48</v>
      </c>
      <c r="G245" s="16">
        <v>11.99</v>
      </c>
      <c r="H245" s="10">
        <v>786</v>
      </c>
      <c r="I245" s="10">
        <f t="shared" si="18"/>
        <v>7108.80996284415</v>
      </c>
      <c r="J245" s="12">
        <f t="shared" si="19"/>
        <v>0.407651678830138</v>
      </c>
      <c r="K245" s="3" t="b">
        <f t="shared" si="20"/>
        <v>1</v>
      </c>
      <c r="L245" s="3" t="b">
        <f t="shared" si="21"/>
        <v>1</v>
      </c>
      <c r="M245" s="3" t="str">
        <f t="shared" si="22"/>
        <v>Eligible</v>
      </c>
      <c r="N245" s="3" t="str">
        <f t="shared" si="23"/>
        <v/>
      </c>
      <c r="O245" s="3" t="s">
        <v>85</v>
      </c>
    </row>
    <row r="246" customHeight="1" spans="1:15">
      <c r="A246" s="3" t="s">
        <v>579</v>
      </c>
      <c r="B246" s="3" t="s">
        <v>580</v>
      </c>
      <c r="C246" s="10">
        <v>135838</v>
      </c>
      <c r="D246" s="10">
        <v>0</v>
      </c>
      <c r="E246" s="10">
        <v>2310000</v>
      </c>
      <c r="F246" s="10">
        <v>240</v>
      </c>
      <c r="G246" s="16">
        <v>8.22</v>
      </c>
      <c r="H246" s="10">
        <v>721</v>
      </c>
      <c r="I246" s="10">
        <f t="shared" si="18"/>
        <v>19639.2405039001</v>
      </c>
      <c r="J246" s="12">
        <f t="shared" si="19"/>
        <v>0.144578398562258</v>
      </c>
      <c r="K246" s="3" t="b">
        <f t="shared" si="20"/>
        <v>1</v>
      </c>
      <c r="L246" s="3" t="b">
        <f t="shared" si="21"/>
        <v>1</v>
      </c>
      <c r="M246" s="3" t="str">
        <f t="shared" si="22"/>
        <v>Eligible</v>
      </c>
      <c r="N246" s="3" t="str">
        <f t="shared" si="23"/>
        <v/>
      </c>
      <c r="O246" s="3" t="s">
        <v>85</v>
      </c>
    </row>
    <row r="247" customHeight="1" spans="1:15">
      <c r="A247" s="3" t="s">
        <v>581</v>
      </c>
      <c r="B247" s="3" t="s">
        <v>582</v>
      </c>
      <c r="C247" s="10">
        <v>43412</v>
      </c>
      <c r="D247" s="10">
        <v>0</v>
      </c>
      <c r="E247" s="10">
        <v>760000</v>
      </c>
      <c r="F247" s="10">
        <v>48</v>
      </c>
      <c r="G247" s="16">
        <v>12.13</v>
      </c>
      <c r="H247" s="10">
        <v>736</v>
      </c>
      <c r="I247" s="10">
        <f t="shared" si="18"/>
        <v>20062.2591849287</v>
      </c>
      <c r="J247" s="12">
        <f t="shared" si="19"/>
        <v>0.462136256908889</v>
      </c>
      <c r="K247" s="3" t="b">
        <f t="shared" si="20"/>
        <v>1</v>
      </c>
      <c r="L247" s="3" t="b">
        <f t="shared" si="21"/>
        <v>1</v>
      </c>
      <c r="M247" s="3" t="str">
        <f t="shared" si="22"/>
        <v>Eligible</v>
      </c>
      <c r="N247" s="3" t="str">
        <f t="shared" si="23"/>
        <v/>
      </c>
      <c r="O247" s="3" t="s">
        <v>85</v>
      </c>
    </row>
    <row r="248" customHeight="1" spans="1:15">
      <c r="A248" s="3" t="s">
        <v>583</v>
      </c>
      <c r="B248" s="3" t="s">
        <v>584</v>
      </c>
      <c r="C248" s="10">
        <v>56819</v>
      </c>
      <c r="D248" s="10">
        <v>0</v>
      </c>
      <c r="E248" s="10">
        <v>600000</v>
      </c>
      <c r="F248" s="10">
        <v>60</v>
      </c>
      <c r="G248" s="16">
        <v>10.37</v>
      </c>
      <c r="H248" s="10">
        <v>678</v>
      </c>
      <c r="I248" s="10">
        <f t="shared" si="18"/>
        <v>12857.7343930976</v>
      </c>
      <c r="J248" s="12">
        <f t="shared" si="19"/>
        <v>0.226292866701237</v>
      </c>
      <c r="K248" s="3" t="b">
        <f t="shared" si="20"/>
        <v>1</v>
      </c>
      <c r="L248" s="3" t="b">
        <f t="shared" si="21"/>
        <v>0</v>
      </c>
      <c r="M248" s="3" t="str">
        <f t="shared" si="22"/>
        <v>Not Eligible</v>
      </c>
      <c r="N248" s="3" t="str">
        <f t="shared" si="23"/>
        <v>Credit score below 700</v>
      </c>
      <c r="O248" s="3" t="s">
        <v>85</v>
      </c>
    </row>
    <row r="249" customHeight="1" spans="1:15">
      <c r="A249" s="3" t="s">
        <v>585</v>
      </c>
      <c r="B249" s="3" t="s">
        <v>556</v>
      </c>
      <c r="C249" s="10">
        <v>232399</v>
      </c>
      <c r="D249" s="10">
        <v>50184</v>
      </c>
      <c r="E249" s="10">
        <v>1060000</v>
      </c>
      <c r="F249" s="10">
        <v>84</v>
      </c>
      <c r="G249" s="16">
        <v>10.13</v>
      </c>
      <c r="H249" s="10">
        <v>843</v>
      </c>
      <c r="I249" s="10">
        <f t="shared" si="18"/>
        <v>17668.5376149208</v>
      </c>
      <c r="J249" s="12">
        <f t="shared" si="19"/>
        <v>0.291965703875321</v>
      </c>
      <c r="K249" s="3" t="b">
        <f t="shared" si="20"/>
        <v>1</v>
      </c>
      <c r="L249" s="3" t="b">
        <f t="shared" si="21"/>
        <v>1</v>
      </c>
      <c r="M249" s="3" t="str">
        <f t="shared" si="22"/>
        <v>Eligible</v>
      </c>
      <c r="N249" s="3" t="str">
        <f t="shared" si="23"/>
        <v/>
      </c>
      <c r="O249" s="3" t="s">
        <v>85</v>
      </c>
    </row>
    <row r="250" customHeight="1" spans="1:15">
      <c r="A250" s="3" t="s">
        <v>586</v>
      </c>
      <c r="B250" s="3" t="s">
        <v>587</v>
      </c>
      <c r="C250" s="10">
        <v>24579</v>
      </c>
      <c r="D250" s="10">
        <v>0</v>
      </c>
      <c r="E250" s="10">
        <v>1380000</v>
      </c>
      <c r="F250" s="10">
        <v>240</v>
      </c>
      <c r="G250" s="16">
        <v>8.38</v>
      </c>
      <c r="H250" s="10">
        <v>712</v>
      </c>
      <c r="I250" s="10">
        <f t="shared" si="18"/>
        <v>11871.3569002275</v>
      </c>
      <c r="J250" s="12">
        <f t="shared" si="19"/>
        <v>0.482987790399426</v>
      </c>
      <c r="K250" s="3" t="b">
        <f t="shared" si="20"/>
        <v>1</v>
      </c>
      <c r="L250" s="3" t="b">
        <f t="shared" si="21"/>
        <v>1</v>
      </c>
      <c r="M250" s="3" t="str">
        <f t="shared" si="22"/>
        <v>Eligible</v>
      </c>
      <c r="N250" s="3" t="str">
        <f t="shared" si="23"/>
        <v/>
      </c>
      <c r="O250" s="3" t="s">
        <v>91</v>
      </c>
    </row>
    <row r="251" customHeight="1" spans="1:15">
      <c r="A251" s="3" t="s">
        <v>588</v>
      </c>
      <c r="B251" s="3" t="s">
        <v>589</v>
      </c>
      <c r="C251" s="10">
        <v>60025</v>
      </c>
      <c r="D251" s="10">
        <v>11204</v>
      </c>
      <c r="E251" s="10">
        <v>2290000</v>
      </c>
      <c r="F251" s="10">
        <v>240</v>
      </c>
      <c r="G251" s="16">
        <v>9.62</v>
      </c>
      <c r="H251" s="10">
        <v>733</v>
      </c>
      <c r="I251" s="10">
        <f t="shared" si="18"/>
        <v>21525.5717803338</v>
      </c>
      <c r="J251" s="12">
        <f t="shared" si="19"/>
        <v>0.545265668976823</v>
      </c>
      <c r="K251" s="3" t="b">
        <f t="shared" si="20"/>
        <v>0</v>
      </c>
      <c r="L251" s="3" t="b">
        <f t="shared" si="21"/>
        <v>1</v>
      </c>
      <c r="M251" s="3" t="str">
        <f t="shared" si="22"/>
        <v>Not Eligible</v>
      </c>
      <c r="N251" s="3" t="str">
        <f t="shared" si="23"/>
        <v>FOIR exceeds 50%</v>
      </c>
      <c r="O251" s="3" t="s">
        <v>85</v>
      </c>
    </row>
    <row r="252" customHeight="1" spans="1:15">
      <c r="A252" s="3" t="s">
        <v>590</v>
      </c>
      <c r="B252" s="3" t="s">
        <v>591</v>
      </c>
      <c r="C252" s="10">
        <v>79116</v>
      </c>
      <c r="D252" s="10">
        <v>10752</v>
      </c>
      <c r="E252" s="10">
        <v>1680000</v>
      </c>
      <c r="F252" s="10">
        <v>60</v>
      </c>
      <c r="G252" s="16">
        <v>14.15</v>
      </c>
      <c r="H252" s="10">
        <v>763</v>
      </c>
      <c r="I252" s="10">
        <f t="shared" si="18"/>
        <v>39221.4304443763</v>
      </c>
      <c r="J252" s="12">
        <f t="shared" si="19"/>
        <v>0.63164758638425</v>
      </c>
      <c r="K252" s="3" t="b">
        <f t="shared" si="20"/>
        <v>0</v>
      </c>
      <c r="L252" s="3" t="b">
        <f t="shared" si="21"/>
        <v>1</v>
      </c>
      <c r="M252" s="3" t="str">
        <f t="shared" si="22"/>
        <v>Not Eligible</v>
      </c>
      <c r="N252" s="3" t="str">
        <f t="shared" si="23"/>
        <v>FOIR exceeds 50%</v>
      </c>
      <c r="O252" s="3" t="s">
        <v>85</v>
      </c>
    </row>
    <row r="253" customHeight="1" spans="1:15">
      <c r="A253" s="3" t="s">
        <v>592</v>
      </c>
      <c r="B253" s="3" t="s">
        <v>593</v>
      </c>
      <c r="C253" s="10">
        <v>25669</v>
      </c>
      <c r="D253" s="10">
        <v>6897</v>
      </c>
      <c r="E253" s="10">
        <v>580000</v>
      </c>
      <c r="F253" s="10">
        <v>60</v>
      </c>
      <c r="G253" s="16">
        <v>14.93</v>
      </c>
      <c r="H253" s="10">
        <v>794</v>
      </c>
      <c r="I253" s="10">
        <f t="shared" si="18"/>
        <v>13776.8571756494</v>
      </c>
      <c r="J253" s="12">
        <f t="shared" si="19"/>
        <v>0.805401736555743</v>
      </c>
      <c r="K253" s="3" t="b">
        <f t="shared" si="20"/>
        <v>0</v>
      </c>
      <c r="L253" s="3" t="b">
        <f t="shared" si="21"/>
        <v>1</v>
      </c>
      <c r="M253" s="3" t="str">
        <f t="shared" si="22"/>
        <v>Not Eligible</v>
      </c>
      <c r="N253" s="3" t="str">
        <f t="shared" si="23"/>
        <v>FOIR exceeds 50%</v>
      </c>
      <c r="O253" s="3" t="s">
        <v>85</v>
      </c>
    </row>
    <row r="254" customHeight="1" spans="1:15">
      <c r="A254" s="3" t="s">
        <v>594</v>
      </c>
      <c r="B254" s="3" t="s">
        <v>466</v>
      </c>
      <c r="C254" s="10">
        <v>49518</v>
      </c>
      <c r="D254" s="10">
        <v>13137</v>
      </c>
      <c r="E254" s="10">
        <v>2290000</v>
      </c>
      <c r="F254" s="10">
        <v>240</v>
      </c>
      <c r="G254" s="16">
        <v>9.03</v>
      </c>
      <c r="H254" s="10">
        <v>654</v>
      </c>
      <c r="I254" s="10">
        <f t="shared" si="18"/>
        <v>20647.9285885811</v>
      </c>
      <c r="J254" s="12">
        <f t="shared" si="19"/>
        <v>0.682275709612284</v>
      </c>
      <c r="K254" s="3" t="b">
        <f t="shared" si="20"/>
        <v>0</v>
      </c>
      <c r="L254" s="3" t="b">
        <f t="shared" si="21"/>
        <v>0</v>
      </c>
      <c r="M254" s="3" t="str">
        <f t="shared" si="22"/>
        <v>Not Eligible</v>
      </c>
      <c r="N254" s="3" t="str">
        <f t="shared" si="23"/>
        <v>FOIR exceeds 50% and credit score below 700</v>
      </c>
      <c r="O254" s="3" t="s">
        <v>85</v>
      </c>
    </row>
    <row r="255" customHeight="1" spans="1:15">
      <c r="A255" s="3" t="s">
        <v>595</v>
      </c>
      <c r="B255" s="3" t="s">
        <v>596</v>
      </c>
      <c r="C255" s="10">
        <v>66003</v>
      </c>
      <c r="D255" s="10">
        <v>0</v>
      </c>
      <c r="E255" s="10">
        <v>240000</v>
      </c>
      <c r="F255" s="10">
        <v>48</v>
      </c>
      <c r="G255" s="16">
        <v>10.72</v>
      </c>
      <c r="H255" s="10">
        <v>751</v>
      </c>
      <c r="I255" s="10">
        <f t="shared" si="18"/>
        <v>6170.34165543195</v>
      </c>
      <c r="J255" s="12">
        <f t="shared" si="19"/>
        <v>0.0934857757288601</v>
      </c>
      <c r="K255" s="3" t="b">
        <f t="shared" si="20"/>
        <v>1</v>
      </c>
      <c r="L255" s="3" t="b">
        <f t="shared" si="21"/>
        <v>1</v>
      </c>
      <c r="M255" s="3" t="str">
        <f t="shared" si="22"/>
        <v>Eligible</v>
      </c>
      <c r="N255" s="3" t="str">
        <f t="shared" si="23"/>
        <v/>
      </c>
      <c r="O255" s="3" t="s">
        <v>85</v>
      </c>
    </row>
    <row r="256" customHeight="1" spans="1:15">
      <c r="A256" s="3" t="s">
        <v>597</v>
      </c>
      <c r="B256" s="3" t="s">
        <v>598</v>
      </c>
      <c r="C256" s="10">
        <v>48459</v>
      </c>
      <c r="D256" s="10">
        <v>13681</v>
      </c>
      <c r="E256" s="10">
        <v>660000</v>
      </c>
      <c r="F256" s="10">
        <v>48</v>
      </c>
      <c r="G256" s="16">
        <v>11.64</v>
      </c>
      <c r="H256" s="10">
        <v>666</v>
      </c>
      <c r="I256" s="10">
        <f t="shared" si="18"/>
        <v>17263.9007494124</v>
      </c>
      <c r="J256" s="12">
        <f t="shared" si="19"/>
        <v>0.63857902039688</v>
      </c>
      <c r="K256" s="3" t="b">
        <f t="shared" si="20"/>
        <v>0</v>
      </c>
      <c r="L256" s="3" t="b">
        <f t="shared" si="21"/>
        <v>0</v>
      </c>
      <c r="M256" s="3" t="str">
        <f t="shared" si="22"/>
        <v>Not Eligible</v>
      </c>
      <c r="N256" s="3" t="str">
        <f t="shared" si="23"/>
        <v>FOIR exceeds 50% and credit score below 700</v>
      </c>
      <c r="O256" s="3" t="s">
        <v>85</v>
      </c>
    </row>
    <row r="257" customHeight="1" spans="1:15">
      <c r="A257" s="3" t="s">
        <v>599</v>
      </c>
      <c r="B257" s="3" t="s">
        <v>600</v>
      </c>
      <c r="C257" s="10">
        <v>88030</v>
      </c>
      <c r="D257" s="10">
        <v>4975</v>
      </c>
      <c r="E257" s="10">
        <v>330000</v>
      </c>
      <c r="F257" s="10">
        <v>60</v>
      </c>
      <c r="G257" s="16">
        <v>10.23</v>
      </c>
      <c r="H257" s="10">
        <v>712</v>
      </c>
      <c r="I257" s="10">
        <f t="shared" si="18"/>
        <v>7048.92900854342</v>
      </c>
      <c r="J257" s="12">
        <f t="shared" si="19"/>
        <v>0.13658899248601</v>
      </c>
      <c r="K257" s="3" t="b">
        <f t="shared" si="20"/>
        <v>1</v>
      </c>
      <c r="L257" s="3" t="b">
        <f t="shared" si="21"/>
        <v>1</v>
      </c>
      <c r="M257" s="3" t="str">
        <f t="shared" si="22"/>
        <v>Eligible</v>
      </c>
      <c r="N257" s="3" t="str">
        <f t="shared" si="23"/>
        <v/>
      </c>
      <c r="O257" s="3" t="s">
        <v>85</v>
      </c>
    </row>
    <row r="258" customHeight="1" spans="1:15">
      <c r="A258" s="3" t="s">
        <v>601</v>
      </c>
      <c r="B258" s="3" t="s">
        <v>330</v>
      </c>
      <c r="C258" s="10">
        <v>75026</v>
      </c>
      <c r="D258" s="10">
        <v>14375</v>
      </c>
      <c r="E258" s="10">
        <v>830000</v>
      </c>
      <c r="F258" s="10">
        <v>84</v>
      </c>
      <c r="G258" s="16">
        <v>11.16</v>
      </c>
      <c r="H258" s="10">
        <v>659</v>
      </c>
      <c r="I258" s="10">
        <f t="shared" ref="I258:I321" si="24">IF(F258&lt;=0,"",IF(G258=0,E258/F258,E258*(G258/12/100)*(1+G258/12/100)^F258/((1+G258/12/100)^F258-1)))</f>
        <v>14281.543460825</v>
      </c>
      <c r="J258" s="12">
        <f t="shared" ref="J258:J321" si="25">IF(C258&lt;=0,"",(D258+I258)/C258)</f>
        <v>0.381954835134819</v>
      </c>
      <c r="K258" s="3" t="b">
        <f t="shared" ref="K258:K321" si="26">IF(J258="","",J258&lt;=50%)</f>
        <v>1</v>
      </c>
      <c r="L258" s="3" t="b">
        <f t="shared" ref="L258:L321" si="27">H258&gt;=700</f>
        <v>0</v>
      </c>
      <c r="M258" s="3" t="str">
        <f t="shared" ref="M258:M321" si="28">IF(AND(K258,L258),"Eligible","Not Eligible")</f>
        <v>Not Eligible</v>
      </c>
      <c r="N258" s="3" t="str">
        <f t="shared" ref="N258:N321" si="29">IF(M258="Eligible","",IF(AND(NOT(K258),NOT(L258)),"FOIR exceeds 50% and credit score below 700",IF(NOT(K258),"FOIR exceeds 50%","Credit score below 700")))</f>
        <v>Credit score below 700</v>
      </c>
      <c r="O258" s="3" t="s">
        <v>85</v>
      </c>
    </row>
    <row r="259" customHeight="1" spans="1:15">
      <c r="A259" s="3" t="s">
        <v>602</v>
      </c>
      <c r="B259" s="3" t="s">
        <v>603</v>
      </c>
      <c r="C259" s="10">
        <v>41053</v>
      </c>
      <c r="D259" s="10">
        <v>0</v>
      </c>
      <c r="E259" s="10">
        <v>350000</v>
      </c>
      <c r="F259" s="10">
        <v>60</v>
      </c>
      <c r="G259" s="16">
        <v>10.03</v>
      </c>
      <c r="H259" s="10">
        <v>784</v>
      </c>
      <c r="I259" s="10">
        <f t="shared" si="24"/>
        <v>7441.63313064418</v>
      </c>
      <c r="J259" s="12">
        <f t="shared" si="25"/>
        <v>0.181268923845862</v>
      </c>
      <c r="K259" s="3" t="b">
        <f t="shared" si="26"/>
        <v>1</v>
      </c>
      <c r="L259" s="3" t="b">
        <f t="shared" si="27"/>
        <v>1</v>
      </c>
      <c r="M259" s="3" t="str">
        <f t="shared" si="28"/>
        <v>Eligible</v>
      </c>
      <c r="N259" s="3" t="str">
        <f t="shared" si="29"/>
        <v/>
      </c>
      <c r="O259" s="3" t="s">
        <v>85</v>
      </c>
    </row>
    <row r="260" customHeight="1" spans="1:15">
      <c r="A260" s="3" t="s">
        <v>604</v>
      </c>
      <c r="B260" s="3" t="s">
        <v>605</v>
      </c>
      <c r="C260" s="10">
        <v>42927</v>
      </c>
      <c r="D260" s="10">
        <v>14996</v>
      </c>
      <c r="E260" s="10">
        <v>920000</v>
      </c>
      <c r="F260" s="10">
        <v>60</v>
      </c>
      <c r="G260" s="16">
        <v>9.43</v>
      </c>
      <c r="H260" s="10">
        <v>640</v>
      </c>
      <c r="I260" s="10">
        <f t="shared" si="24"/>
        <v>19290.2558205642</v>
      </c>
      <c r="J260" s="12">
        <f t="shared" si="25"/>
        <v>0.798710737311347</v>
      </c>
      <c r="K260" s="3" t="b">
        <f t="shared" si="26"/>
        <v>0</v>
      </c>
      <c r="L260" s="3" t="b">
        <f t="shared" si="27"/>
        <v>0</v>
      </c>
      <c r="M260" s="3" t="str">
        <f t="shared" si="28"/>
        <v>Not Eligible</v>
      </c>
      <c r="N260" s="3" t="str">
        <f t="shared" si="29"/>
        <v>FOIR exceeds 50% and credit score below 700</v>
      </c>
      <c r="O260" s="3" t="s">
        <v>85</v>
      </c>
    </row>
    <row r="261" customHeight="1" spans="1:15">
      <c r="A261" s="3" t="s">
        <v>606</v>
      </c>
      <c r="B261" s="3" t="s">
        <v>607</v>
      </c>
      <c r="C261" s="10">
        <v>28490</v>
      </c>
      <c r="D261" s="10">
        <v>11358</v>
      </c>
      <c r="E261" s="10">
        <v>660000</v>
      </c>
      <c r="F261" s="10">
        <v>60</v>
      </c>
      <c r="G261" s="16">
        <v>9.45</v>
      </c>
      <c r="H261" s="10">
        <v>678</v>
      </c>
      <c r="I261" s="10">
        <f t="shared" si="24"/>
        <v>13845.1071925983</v>
      </c>
      <c r="J261" s="12">
        <f t="shared" si="25"/>
        <v>0.884629947090148</v>
      </c>
      <c r="K261" s="3" t="b">
        <f t="shared" si="26"/>
        <v>0</v>
      </c>
      <c r="L261" s="3" t="b">
        <f t="shared" si="27"/>
        <v>0</v>
      </c>
      <c r="M261" s="3" t="str">
        <f t="shared" si="28"/>
        <v>Not Eligible</v>
      </c>
      <c r="N261" s="3" t="str">
        <f t="shared" si="29"/>
        <v>FOIR exceeds 50% and credit score below 700</v>
      </c>
      <c r="O261" s="3" t="s">
        <v>85</v>
      </c>
    </row>
    <row r="262" customHeight="1" spans="1:15">
      <c r="A262" s="3" t="s">
        <v>608</v>
      </c>
      <c r="B262" s="3" t="s">
        <v>609</v>
      </c>
      <c r="C262" s="10">
        <v>71266</v>
      </c>
      <c r="D262" s="10">
        <v>22488</v>
      </c>
      <c r="E262" s="10">
        <v>2920000</v>
      </c>
      <c r="F262" s="10">
        <v>240</v>
      </c>
      <c r="G262" s="16">
        <v>9.41</v>
      </c>
      <c r="H262" s="10">
        <v>771</v>
      </c>
      <c r="I262" s="10">
        <f t="shared" si="24"/>
        <v>27046.8484206092</v>
      </c>
      <c r="J262" s="12">
        <f t="shared" si="25"/>
        <v>0.695069856882794</v>
      </c>
      <c r="K262" s="3" t="b">
        <f t="shared" si="26"/>
        <v>0</v>
      </c>
      <c r="L262" s="3" t="b">
        <f t="shared" si="27"/>
        <v>1</v>
      </c>
      <c r="M262" s="3" t="str">
        <f t="shared" si="28"/>
        <v>Not Eligible</v>
      </c>
      <c r="N262" s="3" t="str">
        <f t="shared" si="29"/>
        <v>FOIR exceeds 50%</v>
      </c>
      <c r="O262" s="3" t="s">
        <v>85</v>
      </c>
    </row>
    <row r="263" customHeight="1" spans="1:15">
      <c r="A263" s="3" t="s">
        <v>610</v>
      </c>
      <c r="B263" s="3" t="s">
        <v>611</v>
      </c>
      <c r="C263" s="10">
        <v>46336</v>
      </c>
      <c r="D263" s="10">
        <v>0</v>
      </c>
      <c r="E263" s="10">
        <v>370000</v>
      </c>
      <c r="F263" s="10">
        <v>60</v>
      </c>
      <c r="G263" s="16">
        <v>10.27</v>
      </c>
      <c r="H263" s="10">
        <v>731</v>
      </c>
      <c r="I263" s="10">
        <f t="shared" si="24"/>
        <v>7910.65158010008</v>
      </c>
      <c r="J263" s="12">
        <f t="shared" si="25"/>
        <v>0.170723661518044</v>
      </c>
      <c r="K263" s="3" t="b">
        <f t="shared" si="26"/>
        <v>1</v>
      </c>
      <c r="L263" s="3" t="b">
        <f t="shared" si="27"/>
        <v>1</v>
      </c>
      <c r="M263" s="3" t="str">
        <f t="shared" si="28"/>
        <v>Eligible</v>
      </c>
      <c r="N263" s="3" t="str">
        <f t="shared" si="29"/>
        <v/>
      </c>
      <c r="O263" s="3" t="s">
        <v>85</v>
      </c>
    </row>
    <row r="264" customHeight="1" spans="1:15">
      <c r="A264" s="3" t="s">
        <v>612</v>
      </c>
      <c r="B264" s="3" t="s">
        <v>613</v>
      </c>
      <c r="C264" s="10">
        <v>48455</v>
      </c>
      <c r="D264" s="10">
        <v>0</v>
      </c>
      <c r="E264" s="10">
        <v>480000</v>
      </c>
      <c r="F264" s="10">
        <v>60</v>
      </c>
      <c r="G264" s="16">
        <v>10.22</v>
      </c>
      <c r="H264" s="10">
        <v>716</v>
      </c>
      <c r="I264" s="10">
        <f t="shared" si="24"/>
        <v>10250.6186338057</v>
      </c>
      <c r="J264" s="12">
        <f t="shared" si="25"/>
        <v>0.211549244325781</v>
      </c>
      <c r="K264" s="3" t="b">
        <f t="shared" si="26"/>
        <v>1</v>
      </c>
      <c r="L264" s="3" t="b">
        <f t="shared" si="27"/>
        <v>1</v>
      </c>
      <c r="M264" s="3" t="str">
        <f t="shared" si="28"/>
        <v>Eligible</v>
      </c>
      <c r="N264" s="3" t="str">
        <f t="shared" si="29"/>
        <v/>
      </c>
      <c r="O264" s="3" t="s">
        <v>85</v>
      </c>
    </row>
    <row r="265" customHeight="1" spans="1:15">
      <c r="A265" s="3" t="s">
        <v>614</v>
      </c>
      <c r="B265" s="3" t="s">
        <v>615</v>
      </c>
      <c r="C265" s="10">
        <v>116492</v>
      </c>
      <c r="D265" s="10">
        <v>23829</v>
      </c>
      <c r="E265" s="10">
        <v>940000</v>
      </c>
      <c r="F265" s="10">
        <v>60</v>
      </c>
      <c r="G265" s="16">
        <v>9.68</v>
      </c>
      <c r="H265" s="10">
        <v>764</v>
      </c>
      <c r="I265" s="10">
        <f t="shared" si="24"/>
        <v>19824.5383050924</v>
      </c>
      <c r="J265" s="12">
        <f t="shared" si="25"/>
        <v>0.374734216127223</v>
      </c>
      <c r="K265" s="3" t="b">
        <f t="shared" si="26"/>
        <v>1</v>
      </c>
      <c r="L265" s="3" t="b">
        <f t="shared" si="27"/>
        <v>1</v>
      </c>
      <c r="M265" s="3" t="str">
        <f t="shared" si="28"/>
        <v>Eligible</v>
      </c>
      <c r="N265" s="3" t="str">
        <f t="shared" si="29"/>
        <v/>
      </c>
      <c r="O265" s="3" t="s">
        <v>85</v>
      </c>
    </row>
    <row r="266" customHeight="1" spans="1:15">
      <c r="A266" s="3" t="s">
        <v>616</v>
      </c>
      <c r="B266" s="3" t="s">
        <v>617</v>
      </c>
      <c r="C266" s="10">
        <v>130160</v>
      </c>
      <c r="D266" s="10">
        <v>16698</v>
      </c>
      <c r="E266" s="10">
        <v>460000</v>
      </c>
      <c r="F266" s="10">
        <v>48</v>
      </c>
      <c r="G266" s="16">
        <v>11.84</v>
      </c>
      <c r="H266" s="10">
        <v>699</v>
      </c>
      <c r="I266" s="10">
        <f t="shared" si="24"/>
        <v>12077.4588496933</v>
      </c>
      <c r="J266" s="12">
        <f t="shared" si="25"/>
        <v>0.221077587966298</v>
      </c>
      <c r="K266" s="3" t="b">
        <f t="shared" si="26"/>
        <v>1</v>
      </c>
      <c r="L266" s="3" t="b">
        <f t="shared" si="27"/>
        <v>0</v>
      </c>
      <c r="M266" s="3" t="str">
        <f t="shared" si="28"/>
        <v>Not Eligible</v>
      </c>
      <c r="N266" s="3" t="str">
        <f t="shared" si="29"/>
        <v>Credit score below 700</v>
      </c>
      <c r="O266" s="3" t="s">
        <v>85</v>
      </c>
    </row>
    <row r="267" customHeight="1" spans="1:15">
      <c r="A267" s="3" t="s">
        <v>618</v>
      </c>
      <c r="B267" s="3" t="s">
        <v>619</v>
      </c>
      <c r="C267" s="10">
        <v>58901</v>
      </c>
      <c r="D267" s="10">
        <v>0</v>
      </c>
      <c r="E267" s="10">
        <v>1020000</v>
      </c>
      <c r="F267" s="10">
        <v>60</v>
      </c>
      <c r="G267" s="16">
        <v>13.93</v>
      </c>
      <c r="H267" s="10">
        <v>731</v>
      </c>
      <c r="I267" s="10">
        <f t="shared" si="24"/>
        <v>23696.6156977479</v>
      </c>
      <c r="J267" s="12">
        <f t="shared" si="25"/>
        <v>0.402312621139673</v>
      </c>
      <c r="K267" s="3" t="b">
        <f t="shared" si="26"/>
        <v>1</v>
      </c>
      <c r="L267" s="3" t="b">
        <f t="shared" si="27"/>
        <v>1</v>
      </c>
      <c r="M267" s="3" t="str">
        <f t="shared" si="28"/>
        <v>Eligible</v>
      </c>
      <c r="N267" s="3" t="str">
        <f t="shared" si="29"/>
        <v/>
      </c>
      <c r="O267" s="3" t="s">
        <v>91</v>
      </c>
    </row>
    <row r="268" customHeight="1" spans="1:15">
      <c r="A268" s="3" t="s">
        <v>620</v>
      </c>
      <c r="B268" s="3" t="s">
        <v>621</v>
      </c>
      <c r="C268" s="10">
        <v>38686</v>
      </c>
      <c r="D268" s="10">
        <v>13214</v>
      </c>
      <c r="E268" s="10">
        <v>1050000</v>
      </c>
      <c r="F268" s="10">
        <v>84</v>
      </c>
      <c r="G268" s="16">
        <v>11.58</v>
      </c>
      <c r="H268" s="10">
        <v>655</v>
      </c>
      <c r="I268" s="10">
        <f t="shared" si="24"/>
        <v>18300.3593382538</v>
      </c>
      <c r="J268" s="12">
        <f t="shared" si="25"/>
        <v>0.814619224997512</v>
      </c>
      <c r="K268" s="3" t="b">
        <f t="shared" si="26"/>
        <v>0</v>
      </c>
      <c r="L268" s="3" t="b">
        <f t="shared" si="27"/>
        <v>0</v>
      </c>
      <c r="M268" s="3" t="str">
        <f t="shared" si="28"/>
        <v>Not Eligible</v>
      </c>
      <c r="N268" s="3" t="str">
        <f t="shared" si="29"/>
        <v>FOIR exceeds 50% and credit score below 700</v>
      </c>
      <c r="O268" s="3" t="s">
        <v>91</v>
      </c>
    </row>
    <row r="269" customHeight="1" spans="1:15">
      <c r="A269" s="3" t="s">
        <v>622</v>
      </c>
      <c r="B269" s="3" t="s">
        <v>492</v>
      </c>
      <c r="C269" s="10">
        <v>58763</v>
      </c>
      <c r="D269" s="10">
        <v>2752</v>
      </c>
      <c r="E269" s="10">
        <v>1380000</v>
      </c>
      <c r="F269" s="10">
        <v>84</v>
      </c>
      <c r="G269" s="16">
        <v>10.43</v>
      </c>
      <c r="H269" s="10">
        <v>719</v>
      </c>
      <c r="I269" s="10">
        <f t="shared" si="24"/>
        <v>23217.4063135516</v>
      </c>
      <c r="J269" s="12">
        <f t="shared" si="25"/>
        <v>0.441934658093555</v>
      </c>
      <c r="K269" s="3" t="b">
        <f t="shared" si="26"/>
        <v>1</v>
      </c>
      <c r="L269" s="3" t="b">
        <f t="shared" si="27"/>
        <v>1</v>
      </c>
      <c r="M269" s="3" t="str">
        <f t="shared" si="28"/>
        <v>Eligible</v>
      </c>
      <c r="N269" s="3" t="str">
        <f t="shared" si="29"/>
        <v/>
      </c>
      <c r="O269" s="3" t="s">
        <v>85</v>
      </c>
    </row>
    <row r="270" customHeight="1" spans="1:15">
      <c r="A270" s="3" t="s">
        <v>623</v>
      </c>
      <c r="B270" s="3" t="s">
        <v>624</v>
      </c>
      <c r="C270" s="10">
        <v>42446</v>
      </c>
      <c r="D270" s="10">
        <v>9728</v>
      </c>
      <c r="E270" s="10">
        <v>760000</v>
      </c>
      <c r="F270" s="10">
        <v>60</v>
      </c>
      <c r="G270" s="16">
        <v>15.15</v>
      </c>
      <c r="H270" s="10">
        <v>604</v>
      </c>
      <c r="I270" s="10">
        <f t="shared" si="24"/>
        <v>18140.2419733205</v>
      </c>
      <c r="J270" s="12">
        <f t="shared" si="25"/>
        <v>0.656557554853708</v>
      </c>
      <c r="K270" s="3" t="b">
        <f t="shared" si="26"/>
        <v>0</v>
      </c>
      <c r="L270" s="3" t="b">
        <f t="shared" si="27"/>
        <v>0</v>
      </c>
      <c r="M270" s="3" t="str">
        <f t="shared" si="28"/>
        <v>Not Eligible</v>
      </c>
      <c r="N270" s="3" t="str">
        <f t="shared" si="29"/>
        <v>FOIR exceeds 50% and credit score below 700</v>
      </c>
      <c r="O270" s="3" t="s">
        <v>85</v>
      </c>
    </row>
    <row r="271" customHeight="1" spans="1:15">
      <c r="A271" s="3" t="s">
        <v>625</v>
      </c>
      <c r="B271" s="3" t="s">
        <v>626</v>
      </c>
      <c r="C271" s="10">
        <v>32275</v>
      </c>
      <c r="D271" s="10">
        <v>7800</v>
      </c>
      <c r="E271" s="10">
        <v>1440000</v>
      </c>
      <c r="F271" s="10">
        <v>84</v>
      </c>
      <c r="G271" s="16">
        <v>11.38</v>
      </c>
      <c r="H271" s="10">
        <v>665</v>
      </c>
      <c r="I271" s="10">
        <f t="shared" si="24"/>
        <v>24944.9608382262</v>
      </c>
      <c r="J271" s="12">
        <f t="shared" si="25"/>
        <v>1.01456114138578</v>
      </c>
      <c r="K271" s="3" t="b">
        <f t="shared" si="26"/>
        <v>0</v>
      </c>
      <c r="L271" s="3" t="b">
        <f t="shared" si="27"/>
        <v>0</v>
      </c>
      <c r="M271" s="3" t="str">
        <f t="shared" si="28"/>
        <v>Not Eligible</v>
      </c>
      <c r="N271" s="3" t="str">
        <f t="shared" si="29"/>
        <v>FOIR exceeds 50% and credit score below 700</v>
      </c>
      <c r="O271" s="3" t="s">
        <v>85</v>
      </c>
    </row>
    <row r="272" customHeight="1" spans="1:15">
      <c r="A272" s="3" t="s">
        <v>627</v>
      </c>
      <c r="B272" s="3" t="s">
        <v>628</v>
      </c>
      <c r="C272" s="10">
        <v>72644</v>
      </c>
      <c r="D272" s="10">
        <v>0</v>
      </c>
      <c r="E272" s="10">
        <v>430000</v>
      </c>
      <c r="F272" s="10">
        <v>36</v>
      </c>
      <c r="G272" s="16">
        <v>14.38</v>
      </c>
      <c r="H272" s="10">
        <v>681</v>
      </c>
      <c r="I272" s="10">
        <f t="shared" si="24"/>
        <v>14775.8674401506</v>
      </c>
      <c r="J272" s="12">
        <f t="shared" si="25"/>
        <v>0.203401071528971</v>
      </c>
      <c r="K272" s="3" t="b">
        <f t="shared" si="26"/>
        <v>1</v>
      </c>
      <c r="L272" s="3" t="b">
        <f t="shared" si="27"/>
        <v>0</v>
      </c>
      <c r="M272" s="3" t="str">
        <f t="shared" si="28"/>
        <v>Not Eligible</v>
      </c>
      <c r="N272" s="3" t="str">
        <f t="shared" si="29"/>
        <v>Credit score below 700</v>
      </c>
      <c r="O272" s="3" t="s">
        <v>85</v>
      </c>
    </row>
    <row r="273" customHeight="1" spans="1:15">
      <c r="A273" s="3" t="s">
        <v>629</v>
      </c>
      <c r="B273" s="3" t="s">
        <v>630</v>
      </c>
      <c r="C273" s="10">
        <v>29173</v>
      </c>
      <c r="D273" s="10">
        <v>2892</v>
      </c>
      <c r="E273" s="10">
        <v>1190000</v>
      </c>
      <c r="F273" s="10">
        <v>60</v>
      </c>
      <c r="G273" s="16">
        <v>14.01</v>
      </c>
      <c r="H273" s="10">
        <v>719</v>
      </c>
      <c r="I273" s="10">
        <f t="shared" si="24"/>
        <v>27695.388300826</v>
      </c>
      <c r="J273" s="12">
        <f t="shared" si="25"/>
        <v>1.04848278548062</v>
      </c>
      <c r="K273" s="3" t="b">
        <f t="shared" si="26"/>
        <v>0</v>
      </c>
      <c r="L273" s="3" t="b">
        <f t="shared" si="27"/>
        <v>1</v>
      </c>
      <c r="M273" s="3" t="str">
        <f t="shared" si="28"/>
        <v>Not Eligible</v>
      </c>
      <c r="N273" s="3" t="str">
        <f t="shared" si="29"/>
        <v>FOIR exceeds 50%</v>
      </c>
      <c r="O273" s="3" t="s">
        <v>85</v>
      </c>
    </row>
    <row r="274" customHeight="1" spans="1:15">
      <c r="A274" s="3" t="s">
        <v>631</v>
      </c>
      <c r="B274" s="3" t="s">
        <v>632</v>
      </c>
      <c r="C274" s="10">
        <v>77644</v>
      </c>
      <c r="D274" s="10">
        <v>0</v>
      </c>
      <c r="E274" s="10">
        <v>610000</v>
      </c>
      <c r="F274" s="10">
        <v>60</v>
      </c>
      <c r="G274" s="16">
        <v>14.27</v>
      </c>
      <c r="H274" s="10">
        <v>640</v>
      </c>
      <c r="I274" s="10">
        <f t="shared" si="24"/>
        <v>14279.1640882389</v>
      </c>
      <c r="J274" s="12">
        <f t="shared" si="25"/>
        <v>0.183905570143719</v>
      </c>
      <c r="K274" s="3" t="b">
        <f t="shared" si="26"/>
        <v>1</v>
      </c>
      <c r="L274" s="3" t="b">
        <f t="shared" si="27"/>
        <v>0</v>
      </c>
      <c r="M274" s="3" t="str">
        <f t="shared" si="28"/>
        <v>Not Eligible</v>
      </c>
      <c r="N274" s="3" t="str">
        <f t="shared" si="29"/>
        <v>Credit score below 700</v>
      </c>
      <c r="O274" s="3" t="s">
        <v>85</v>
      </c>
    </row>
    <row r="275" customHeight="1" spans="1:15">
      <c r="A275" s="3" t="s">
        <v>633</v>
      </c>
      <c r="B275" s="3" t="s">
        <v>634</v>
      </c>
      <c r="C275" s="10">
        <v>95702</v>
      </c>
      <c r="D275" s="10">
        <v>0</v>
      </c>
      <c r="E275" s="10">
        <v>440000</v>
      </c>
      <c r="F275" s="10">
        <v>60</v>
      </c>
      <c r="G275" s="16">
        <v>10.24</v>
      </c>
      <c r="H275" s="10">
        <v>713</v>
      </c>
      <c r="I275" s="10">
        <f t="shared" si="24"/>
        <v>9400.74390236174</v>
      </c>
      <c r="J275" s="12">
        <f t="shared" si="25"/>
        <v>0.0982293358797281</v>
      </c>
      <c r="K275" s="3" t="b">
        <f t="shared" si="26"/>
        <v>1</v>
      </c>
      <c r="L275" s="3" t="b">
        <f t="shared" si="27"/>
        <v>1</v>
      </c>
      <c r="M275" s="3" t="str">
        <f t="shared" si="28"/>
        <v>Eligible</v>
      </c>
      <c r="N275" s="3" t="str">
        <f t="shared" si="29"/>
        <v/>
      </c>
      <c r="O275" s="3" t="s">
        <v>85</v>
      </c>
    </row>
    <row r="276" customHeight="1" spans="1:15">
      <c r="A276" s="3" t="s">
        <v>635</v>
      </c>
      <c r="B276" s="3" t="s">
        <v>636</v>
      </c>
      <c r="C276" s="10">
        <v>119932</v>
      </c>
      <c r="D276" s="10">
        <v>0</v>
      </c>
      <c r="E276" s="10">
        <v>750000</v>
      </c>
      <c r="F276" s="10">
        <v>48</v>
      </c>
      <c r="G276" s="16">
        <v>11.2</v>
      </c>
      <c r="H276" s="10">
        <v>635</v>
      </c>
      <c r="I276" s="10">
        <f t="shared" si="24"/>
        <v>19457.0670707084</v>
      </c>
      <c r="J276" s="12">
        <f t="shared" si="25"/>
        <v>0.162234158278928</v>
      </c>
      <c r="K276" s="3" t="b">
        <f t="shared" si="26"/>
        <v>1</v>
      </c>
      <c r="L276" s="3" t="b">
        <f t="shared" si="27"/>
        <v>0</v>
      </c>
      <c r="M276" s="3" t="str">
        <f t="shared" si="28"/>
        <v>Not Eligible</v>
      </c>
      <c r="N276" s="3" t="str">
        <f t="shared" si="29"/>
        <v>Credit score below 700</v>
      </c>
      <c r="O276" s="3" t="s">
        <v>85</v>
      </c>
    </row>
    <row r="277" customHeight="1" spans="1:15">
      <c r="A277" s="3" t="s">
        <v>637</v>
      </c>
      <c r="B277" s="3" t="s">
        <v>638</v>
      </c>
      <c r="C277" s="10">
        <v>48512</v>
      </c>
      <c r="D277" s="10">
        <v>14678</v>
      </c>
      <c r="E277" s="10">
        <v>520000</v>
      </c>
      <c r="F277" s="10">
        <v>48</v>
      </c>
      <c r="G277" s="16">
        <v>11.75</v>
      </c>
      <c r="H277" s="10">
        <v>612</v>
      </c>
      <c r="I277" s="10">
        <f t="shared" si="24"/>
        <v>13629.8525187991</v>
      </c>
      <c r="J277" s="12">
        <f t="shared" si="25"/>
        <v>0.583522685496353</v>
      </c>
      <c r="K277" s="3" t="b">
        <f t="shared" si="26"/>
        <v>0</v>
      </c>
      <c r="L277" s="3" t="b">
        <f t="shared" si="27"/>
        <v>0</v>
      </c>
      <c r="M277" s="3" t="str">
        <f t="shared" si="28"/>
        <v>Not Eligible</v>
      </c>
      <c r="N277" s="3" t="str">
        <f t="shared" si="29"/>
        <v>FOIR exceeds 50% and credit score below 700</v>
      </c>
      <c r="O277" s="3" t="s">
        <v>85</v>
      </c>
    </row>
    <row r="278" customHeight="1" spans="1:15">
      <c r="A278" s="3" t="s">
        <v>639</v>
      </c>
      <c r="B278" s="3" t="s">
        <v>640</v>
      </c>
      <c r="C278" s="10">
        <v>44936</v>
      </c>
      <c r="D278" s="10">
        <v>0</v>
      </c>
      <c r="E278" s="10">
        <v>250000</v>
      </c>
      <c r="F278" s="10">
        <v>36</v>
      </c>
      <c r="G278" s="16">
        <v>13.14</v>
      </c>
      <c r="H278" s="10">
        <v>667</v>
      </c>
      <c r="I278" s="10">
        <f t="shared" si="24"/>
        <v>8440.35606864057</v>
      </c>
      <c r="J278" s="12">
        <f t="shared" si="25"/>
        <v>0.187830605052532</v>
      </c>
      <c r="K278" s="3" t="b">
        <f t="shared" si="26"/>
        <v>1</v>
      </c>
      <c r="L278" s="3" t="b">
        <f t="shared" si="27"/>
        <v>0</v>
      </c>
      <c r="M278" s="3" t="str">
        <f t="shared" si="28"/>
        <v>Not Eligible</v>
      </c>
      <c r="N278" s="3" t="str">
        <f t="shared" si="29"/>
        <v>Credit score below 700</v>
      </c>
      <c r="O278" s="3" t="s">
        <v>85</v>
      </c>
    </row>
    <row r="279" customHeight="1" spans="1:15">
      <c r="A279" s="3" t="s">
        <v>641</v>
      </c>
      <c r="B279" s="3" t="s">
        <v>642</v>
      </c>
      <c r="C279" s="10">
        <v>92159</v>
      </c>
      <c r="D279" s="10">
        <v>0</v>
      </c>
      <c r="E279" s="10">
        <v>990000</v>
      </c>
      <c r="F279" s="10">
        <v>84</v>
      </c>
      <c r="G279" s="16">
        <v>11.35</v>
      </c>
      <c r="H279" s="10">
        <v>763</v>
      </c>
      <c r="I279" s="10">
        <f t="shared" si="24"/>
        <v>17133.9467156452</v>
      </c>
      <c r="J279" s="12">
        <f t="shared" si="25"/>
        <v>0.185917237769998</v>
      </c>
      <c r="K279" s="3" t="b">
        <f t="shared" si="26"/>
        <v>1</v>
      </c>
      <c r="L279" s="3" t="b">
        <f t="shared" si="27"/>
        <v>1</v>
      </c>
      <c r="M279" s="3" t="str">
        <f t="shared" si="28"/>
        <v>Eligible</v>
      </c>
      <c r="N279" s="3" t="str">
        <f t="shared" si="29"/>
        <v/>
      </c>
      <c r="O279" s="3" t="s">
        <v>85</v>
      </c>
    </row>
    <row r="280" customHeight="1" spans="1:15">
      <c r="A280" s="3" t="s">
        <v>643</v>
      </c>
      <c r="B280" s="3" t="s">
        <v>294</v>
      </c>
      <c r="C280" s="10">
        <v>63564</v>
      </c>
      <c r="D280" s="10">
        <v>26676</v>
      </c>
      <c r="E280" s="10">
        <v>490000</v>
      </c>
      <c r="F280" s="10">
        <v>84</v>
      </c>
      <c r="G280" s="16">
        <v>10.24</v>
      </c>
      <c r="H280" s="10">
        <v>750</v>
      </c>
      <c r="I280" s="10">
        <f t="shared" si="24"/>
        <v>8195.47254891002</v>
      </c>
      <c r="J280" s="12">
        <f t="shared" si="25"/>
        <v>0.548604124172645</v>
      </c>
      <c r="K280" s="3" t="b">
        <f t="shared" si="26"/>
        <v>0</v>
      </c>
      <c r="L280" s="3" t="b">
        <f t="shared" si="27"/>
        <v>1</v>
      </c>
      <c r="M280" s="3" t="str">
        <f t="shared" si="28"/>
        <v>Not Eligible</v>
      </c>
      <c r="N280" s="3" t="str">
        <f t="shared" si="29"/>
        <v>FOIR exceeds 50%</v>
      </c>
      <c r="O280" s="3" t="s">
        <v>85</v>
      </c>
    </row>
    <row r="281" customHeight="1" spans="1:15">
      <c r="A281" s="3" t="s">
        <v>644</v>
      </c>
      <c r="B281" s="3" t="s">
        <v>645</v>
      </c>
      <c r="C281" s="10">
        <v>51358</v>
      </c>
      <c r="D281" s="10">
        <v>9757</v>
      </c>
      <c r="E281" s="10">
        <v>1510000</v>
      </c>
      <c r="F281" s="10">
        <v>60</v>
      </c>
      <c r="G281" s="16">
        <v>13.89</v>
      </c>
      <c r="H281" s="10">
        <v>759</v>
      </c>
      <c r="I281" s="10">
        <f t="shared" si="24"/>
        <v>35049.0057695</v>
      </c>
      <c r="J281" s="12">
        <f t="shared" si="25"/>
        <v>0.872425051004713</v>
      </c>
      <c r="K281" s="3" t="b">
        <f t="shared" si="26"/>
        <v>0</v>
      </c>
      <c r="L281" s="3" t="b">
        <f t="shared" si="27"/>
        <v>1</v>
      </c>
      <c r="M281" s="3" t="str">
        <f t="shared" si="28"/>
        <v>Not Eligible</v>
      </c>
      <c r="N281" s="3" t="str">
        <f t="shared" si="29"/>
        <v>FOIR exceeds 50%</v>
      </c>
      <c r="O281" s="3" t="s">
        <v>85</v>
      </c>
    </row>
    <row r="282" customHeight="1" spans="1:15">
      <c r="A282" s="3" t="s">
        <v>646</v>
      </c>
      <c r="B282" s="3" t="s">
        <v>476</v>
      </c>
      <c r="C282" s="10">
        <v>80084</v>
      </c>
      <c r="D282" s="10">
        <v>15957</v>
      </c>
      <c r="E282" s="10">
        <v>800000</v>
      </c>
      <c r="F282" s="10">
        <v>60</v>
      </c>
      <c r="G282" s="16">
        <v>9.9</v>
      </c>
      <c r="H282" s="10">
        <v>673</v>
      </c>
      <c r="I282" s="10">
        <f t="shared" si="24"/>
        <v>16958.2992682931</v>
      </c>
      <c r="J282" s="12">
        <f t="shared" si="25"/>
        <v>0.41100968068894</v>
      </c>
      <c r="K282" s="3" t="b">
        <f t="shared" si="26"/>
        <v>1</v>
      </c>
      <c r="L282" s="3" t="b">
        <f t="shared" si="27"/>
        <v>0</v>
      </c>
      <c r="M282" s="3" t="str">
        <f t="shared" si="28"/>
        <v>Not Eligible</v>
      </c>
      <c r="N282" s="3" t="str">
        <f t="shared" si="29"/>
        <v>Credit score below 700</v>
      </c>
      <c r="O282" s="3" t="s">
        <v>85</v>
      </c>
    </row>
    <row r="283" customHeight="1" spans="1:15">
      <c r="A283" s="3" t="s">
        <v>647</v>
      </c>
      <c r="B283" s="3" t="s">
        <v>648</v>
      </c>
      <c r="C283" s="10">
        <v>66619</v>
      </c>
      <c r="D283" s="10">
        <v>20446</v>
      </c>
      <c r="E283" s="10">
        <v>910000</v>
      </c>
      <c r="F283" s="10">
        <v>60</v>
      </c>
      <c r="G283" s="16">
        <v>10.43</v>
      </c>
      <c r="H283" s="10">
        <v>739</v>
      </c>
      <c r="I283" s="10">
        <f t="shared" si="24"/>
        <v>19527.9084982124</v>
      </c>
      <c r="J283" s="12">
        <f t="shared" si="25"/>
        <v>0.60003765439608</v>
      </c>
      <c r="K283" s="3" t="b">
        <f t="shared" si="26"/>
        <v>0</v>
      </c>
      <c r="L283" s="3" t="b">
        <f t="shared" si="27"/>
        <v>1</v>
      </c>
      <c r="M283" s="3" t="str">
        <f t="shared" si="28"/>
        <v>Not Eligible</v>
      </c>
      <c r="N283" s="3" t="str">
        <f t="shared" si="29"/>
        <v>FOIR exceeds 50%</v>
      </c>
      <c r="O283" s="3" t="s">
        <v>85</v>
      </c>
    </row>
    <row r="284" customHeight="1" spans="1:15">
      <c r="A284" s="3" t="s">
        <v>649</v>
      </c>
      <c r="B284" s="3" t="s">
        <v>650</v>
      </c>
      <c r="C284" s="10">
        <v>18659</v>
      </c>
      <c r="D284" s="10">
        <v>0</v>
      </c>
      <c r="E284" s="10">
        <v>420000</v>
      </c>
      <c r="F284" s="10">
        <v>36</v>
      </c>
      <c r="G284" s="16">
        <v>13.83</v>
      </c>
      <c r="H284" s="10">
        <v>681</v>
      </c>
      <c r="I284" s="10">
        <f t="shared" si="24"/>
        <v>14319.9505889126</v>
      </c>
      <c r="J284" s="12">
        <f t="shared" si="25"/>
        <v>0.767455415022918</v>
      </c>
      <c r="K284" s="3" t="b">
        <f t="shared" si="26"/>
        <v>0</v>
      </c>
      <c r="L284" s="3" t="b">
        <f t="shared" si="27"/>
        <v>0</v>
      </c>
      <c r="M284" s="3" t="str">
        <f t="shared" si="28"/>
        <v>Not Eligible</v>
      </c>
      <c r="N284" s="3" t="str">
        <f t="shared" si="29"/>
        <v>FOIR exceeds 50% and credit score below 700</v>
      </c>
      <c r="O284" s="3" t="s">
        <v>85</v>
      </c>
    </row>
    <row r="285" customHeight="1" spans="1:15">
      <c r="A285" s="3" t="s">
        <v>651</v>
      </c>
      <c r="B285" s="3" t="s">
        <v>652</v>
      </c>
      <c r="C285" s="10">
        <v>87525</v>
      </c>
      <c r="D285" s="10">
        <v>11175</v>
      </c>
      <c r="E285" s="10">
        <v>3340000</v>
      </c>
      <c r="F285" s="10">
        <v>240</v>
      </c>
      <c r="G285" s="16">
        <v>9.26</v>
      </c>
      <c r="H285" s="10">
        <v>702</v>
      </c>
      <c r="I285" s="10">
        <f t="shared" si="24"/>
        <v>30611.6027251359</v>
      </c>
      <c r="J285" s="12">
        <f t="shared" si="25"/>
        <v>0.477424766925289</v>
      </c>
      <c r="K285" s="3" t="b">
        <f t="shared" si="26"/>
        <v>1</v>
      </c>
      <c r="L285" s="3" t="b">
        <f t="shared" si="27"/>
        <v>1</v>
      </c>
      <c r="M285" s="3" t="str">
        <f t="shared" si="28"/>
        <v>Eligible</v>
      </c>
      <c r="N285" s="3" t="str">
        <f t="shared" si="29"/>
        <v/>
      </c>
      <c r="O285" s="3" t="s">
        <v>85</v>
      </c>
    </row>
    <row r="286" customHeight="1" spans="1:15">
      <c r="A286" s="3" t="s">
        <v>653</v>
      </c>
      <c r="B286" s="3" t="s">
        <v>654</v>
      </c>
      <c r="C286" s="10">
        <v>51289</v>
      </c>
      <c r="D286" s="10">
        <v>16818</v>
      </c>
      <c r="E286" s="10">
        <v>1910000</v>
      </c>
      <c r="F286" s="10">
        <v>240</v>
      </c>
      <c r="G286" s="16">
        <v>8.65</v>
      </c>
      <c r="H286" s="10">
        <v>838</v>
      </c>
      <c r="I286" s="10">
        <f t="shared" si="24"/>
        <v>16757.1990962032</v>
      </c>
      <c r="J286" s="12">
        <f t="shared" si="25"/>
        <v>0.654627680325279</v>
      </c>
      <c r="K286" s="3" t="b">
        <f t="shared" si="26"/>
        <v>0</v>
      </c>
      <c r="L286" s="3" t="b">
        <f t="shared" si="27"/>
        <v>1</v>
      </c>
      <c r="M286" s="3" t="str">
        <f t="shared" si="28"/>
        <v>Not Eligible</v>
      </c>
      <c r="N286" s="3" t="str">
        <f t="shared" si="29"/>
        <v>FOIR exceeds 50%</v>
      </c>
      <c r="O286" s="3" t="s">
        <v>85</v>
      </c>
    </row>
    <row r="287" customHeight="1" spans="1:15">
      <c r="A287" s="3" t="s">
        <v>655</v>
      </c>
      <c r="B287" s="3" t="s">
        <v>656</v>
      </c>
      <c r="C287" s="10">
        <v>53485</v>
      </c>
      <c r="D287" s="10">
        <v>3198</v>
      </c>
      <c r="E287" s="10">
        <v>450000</v>
      </c>
      <c r="F287" s="10">
        <v>36</v>
      </c>
      <c r="G287" s="16">
        <v>13.34</v>
      </c>
      <c r="H287" s="10">
        <v>763</v>
      </c>
      <c r="I287" s="10">
        <f t="shared" si="24"/>
        <v>15236.0776649937</v>
      </c>
      <c r="J287" s="12">
        <f t="shared" si="25"/>
        <v>0.344658832663245</v>
      </c>
      <c r="K287" s="3" t="b">
        <f t="shared" si="26"/>
        <v>1</v>
      </c>
      <c r="L287" s="3" t="b">
        <f t="shared" si="27"/>
        <v>1</v>
      </c>
      <c r="M287" s="3" t="str">
        <f t="shared" si="28"/>
        <v>Eligible</v>
      </c>
      <c r="N287" s="3" t="str">
        <f t="shared" si="29"/>
        <v/>
      </c>
      <c r="O287" s="3" t="s">
        <v>85</v>
      </c>
    </row>
    <row r="288" customHeight="1" spans="1:15">
      <c r="A288" s="3" t="s">
        <v>657</v>
      </c>
      <c r="B288" s="3" t="s">
        <v>442</v>
      </c>
      <c r="C288" s="10">
        <v>78709</v>
      </c>
      <c r="D288" s="10">
        <v>13830</v>
      </c>
      <c r="E288" s="10">
        <v>4030000</v>
      </c>
      <c r="F288" s="10">
        <v>240</v>
      </c>
      <c r="G288" s="16">
        <v>8.83</v>
      </c>
      <c r="H288" s="10">
        <v>760</v>
      </c>
      <c r="I288" s="10">
        <f t="shared" si="24"/>
        <v>35819.5180782509</v>
      </c>
      <c r="J288" s="12">
        <f t="shared" si="25"/>
        <v>0.630798486554916</v>
      </c>
      <c r="K288" s="3" t="b">
        <f t="shared" si="26"/>
        <v>0</v>
      </c>
      <c r="L288" s="3" t="b">
        <f t="shared" si="27"/>
        <v>1</v>
      </c>
      <c r="M288" s="3" t="str">
        <f t="shared" si="28"/>
        <v>Not Eligible</v>
      </c>
      <c r="N288" s="3" t="str">
        <f t="shared" si="29"/>
        <v>FOIR exceeds 50%</v>
      </c>
      <c r="O288" s="3" t="s">
        <v>85</v>
      </c>
    </row>
    <row r="289" customHeight="1" spans="1:15">
      <c r="A289" s="3" t="s">
        <v>658</v>
      </c>
      <c r="B289" s="3" t="s">
        <v>659</v>
      </c>
      <c r="C289" s="10">
        <v>36886</v>
      </c>
      <c r="D289" s="10">
        <v>10085</v>
      </c>
      <c r="E289" s="10">
        <v>710000</v>
      </c>
      <c r="F289" s="10">
        <v>48</v>
      </c>
      <c r="G289" s="16">
        <v>10.61</v>
      </c>
      <c r="H289" s="10">
        <v>687</v>
      </c>
      <c r="I289" s="10">
        <f t="shared" si="24"/>
        <v>18216.1403857677</v>
      </c>
      <c r="J289" s="12">
        <f t="shared" si="25"/>
        <v>0.767259675371896</v>
      </c>
      <c r="K289" s="3" t="b">
        <f t="shared" si="26"/>
        <v>0</v>
      </c>
      <c r="L289" s="3" t="b">
        <f t="shared" si="27"/>
        <v>0</v>
      </c>
      <c r="M289" s="3" t="str">
        <f t="shared" si="28"/>
        <v>Not Eligible</v>
      </c>
      <c r="N289" s="3" t="str">
        <f t="shared" si="29"/>
        <v>FOIR exceeds 50% and credit score below 700</v>
      </c>
      <c r="O289" s="3" t="s">
        <v>91</v>
      </c>
    </row>
    <row r="290" customHeight="1" spans="1:15">
      <c r="A290" s="3" t="s">
        <v>660</v>
      </c>
      <c r="B290" s="3" t="s">
        <v>661</v>
      </c>
      <c r="C290" s="10">
        <v>120096</v>
      </c>
      <c r="D290" s="10">
        <v>0</v>
      </c>
      <c r="E290" s="10">
        <v>1320000</v>
      </c>
      <c r="F290" s="10">
        <v>84</v>
      </c>
      <c r="G290" s="16">
        <v>10.15</v>
      </c>
      <c r="H290" s="10">
        <v>754</v>
      </c>
      <c r="I290" s="10">
        <f t="shared" si="24"/>
        <v>22016.0044063013</v>
      </c>
      <c r="J290" s="12">
        <f t="shared" si="25"/>
        <v>0.183320047347966</v>
      </c>
      <c r="K290" s="3" t="b">
        <f t="shared" si="26"/>
        <v>1</v>
      </c>
      <c r="L290" s="3" t="b">
        <f t="shared" si="27"/>
        <v>1</v>
      </c>
      <c r="M290" s="3" t="str">
        <f t="shared" si="28"/>
        <v>Eligible</v>
      </c>
      <c r="N290" s="3" t="str">
        <f t="shared" si="29"/>
        <v/>
      </c>
      <c r="O290" s="3" t="s">
        <v>85</v>
      </c>
    </row>
    <row r="291" customHeight="1" spans="1:15">
      <c r="A291" s="3" t="s">
        <v>662</v>
      </c>
      <c r="B291" s="3" t="s">
        <v>663</v>
      </c>
      <c r="C291" s="10">
        <v>89818</v>
      </c>
      <c r="D291" s="10">
        <v>7069</v>
      </c>
      <c r="E291" s="10">
        <v>1060000</v>
      </c>
      <c r="F291" s="10">
        <v>60</v>
      </c>
      <c r="G291" s="16">
        <v>9.02</v>
      </c>
      <c r="H291" s="10">
        <v>823</v>
      </c>
      <c r="I291" s="10">
        <f t="shared" si="24"/>
        <v>22014.1469957392</v>
      </c>
      <c r="J291" s="12">
        <f t="shared" si="25"/>
        <v>0.323800875055548</v>
      </c>
      <c r="K291" s="3" t="b">
        <f t="shared" si="26"/>
        <v>1</v>
      </c>
      <c r="L291" s="3" t="b">
        <f t="shared" si="27"/>
        <v>1</v>
      </c>
      <c r="M291" s="3" t="str">
        <f t="shared" si="28"/>
        <v>Eligible</v>
      </c>
      <c r="N291" s="3" t="str">
        <f t="shared" si="29"/>
        <v/>
      </c>
      <c r="O291" s="3" t="s">
        <v>85</v>
      </c>
    </row>
    <row r="292" customHeight="1" spans="1:15">
      <c r="A292" s="3" t="s">
        <v>664</v>
      </c>
      <c r="B292" s="3" t="s">
        <v>665</v>
      </c>
      <c r="C292" s="10">
        <v>73242</v>
      </c>
      <c r="D292" s="10">
        <v>27231</v>
      </c>
      <c r="E292" s="10">
        <v>310000</v>
      </c>
      <c r="F292" s="10">
        <v>36</v>
      </c>
      <c r="G292" s="16">
        <v>13.72</v>
      </c>
      <c r="H292" s="10">
        <v>771</v>
      </c>
      <c r="I292" s="10">
        <f t="shared" si="24"/>
        <v>10552.9561499912</v>
      </c>
      <c r="J292" s="12">
        <f t="shared" si="25"/>
        <v>0.515878268616248</v>
      </c>
      <c r="K292" s="3" t="b">
        <f t="shared" si="26"/>
        <v>0</v>
      </c>
      <c r="L292" s="3" t="b">
        <f t="shared" si="27"/>
        <v>1</v>
      </c>
      <c r="M292" s="3" t="str">
        <f t="shared" si="28"/>
        <v>Not Eligible</v>
      </c>
      <c r="N292" s="3" t="str">
        <f t="shared" si="29"/>
        <v>FOIR exceeds 50%</v>
      </c>
      <c r="O292" s="3" t="s">
        <v>85</v>
      </c>
    </row>
    <row r="293" customHeight="1" spans="1:15">
      <c r="A293" s="3" t="s">
        <v>666</v>
      </c>
      <c r="B293" s="3" t="s">
        <v>582</v>
      </c>
      <c r="C293" s="10">
        <v>65722</v>
      </c>
      <c r="D293" s="10">
        <v>9604</v>
      </c>
      <c r="E293" s="10">
        <v>700000</v>
      </c>
      <c r="F293" s="10">
        <v>48</v>
      </c>
      <c r="G293" s="16">
        <v>11.26</v>
      </c>
      <c r="H293" s="10">
        <v>808</v>
      </c>
      <c r="I293" s="10">
        <f t="shared" si="24"/>
        <v>18180.3776169334</v>
      </c>
      <c r="J293" s="12">
        <f t="shared" si="25"/>
        <v>0.422756118452473</v>
      </c>
      <c r="K293" s="3" t="b">
        <f t="shared" si="26"/>
        <v>1</v>
      </c>
      <c r="L293" s="3" t="b">
        <f t="shared" si="27"/>
        <v>1</v>
      </c>
      <c r="M293" s="3" t="str">
        <f t="shared" si="28"/>
        <v>Eligible</v>
      </c>
      <c r="N293" s="3" t="str">
        <f t="shared" si="29"/>
        <v/>
      </c>
      <c r="O293" s="3" t="s">
        <v>85</v>
      </c>
    </row>
    <row r="294" customHeight="1" spans="1:15">
      <c r="A294" s="3" t="s">
        <v>667</v>
      </c>
      <c r="B294" s="3" t="s">
        <v>668</v>
      </c>
      <c r="C294" s="10">
        <v>82551</v>
      </c>
      <c r="D294" s="10">
        <v>26034</v>
      </c>
      <c r="E294" s="10">
        <v>360000</v>
      </c>
      <c r="F294" s="10">
        <v>36</v>
      </c>
      <c r="G294" s="16">
        <v>14.41</v>
      </c>
      <c r="H294" s="10">
        <v>697</v>
      </c>
      <c r="I294" s="10">
        <f t="shared" si="24"/>
        <v>12375.756271884</v>
      </c>
      <c r="J294" s="12">
        <f t="shared" si="25"/>
        <v>0.465285172461678</v>
      </c>
      <c r="K294" s="3" t="b">
        <f t="shared" si="26"/>
        <v>1</v>
      </c>
      <c r="L294" s="3" t="b">
        <f t="shared" si="27"/>
        <v>0</v>
      </c>
      <c r="M294" s="3" t="str">
        <f t="shared" si="28"/>
        <v>Not Eligible</v>
      </c>
      <c r="N294" s="3" t="str">
        <f t="shared" si="29"/>
        <v>Credit score below 700</v>
      </c>
      <c r="O294" s="3" t="s">
        <v>85</v>
      </c>
    </row>
    <row r="295" customHeight="1" spans="1:15">
      <c r="A295" s="3" t="s">
        <v>669</v>
      </c>
      <c r="B295" s="3" t="s">
        <v>670</v>
      </c>
      <c r="C295" s="10">
        <v>41683</v>
      </c>
      <c r="D295" s="10">
        <v>16682</v>
      </c>
      <c r="E295" s="10">
        <v>470000</v>
      </c>
      <c r="F295" s="10">
        <v>36</v>
      </c>
      <c r="G295" s="16">
        <v>13.12</v>
      </c>
      <c r="H295" s="10">
        <v>707</v>
      </c>
      <c r="I295" s="10">
        <f t="shared" si="24"/>
        <v>15863.3368525832</v>
      </c>
      <c r="J295" s="12">
        <f t="shared" si="25"/>
        <v>0.780782017910975</v>
      </c>
      <c r="K295" s="3" t="b">
        <f t="shared" si="26"/>
        <v>0</v>
      </c>
      <c r="L295" s="3" t="b">
        <f t="shared" si="27"/>
        <v>1</v>
      </c>
      <c r="M295" s="3" t="str">
        <f t="shared" si="28"/>
        <v>Not Eligible</v>
      </c>
      <c r="N295" s="3" t="str">
        <f t="shared" si="29"/>
        <v>FOIR exceeds 50%</v>
      </c>
      <c r="O295" s="3" t="s">
        <v>85</v>
      </c>
    </row>
    <row r="296" customHeight="1" spans="1:15">
      <c r="A296" s="3" t="s">
        <v>671</v>
      </c>
      <c r="B296" s="3" t="s">
        <v>672</v>
      </c>
      <c r="C296" s="10">
        <v>80370</v>
      </c>
      <c r="D296" s="10">
        <v>12482</v>
      </c>
      <c r="E296" s="10">
        <v>280000</v>
      </c>
      <c r="F296" s="10">
        <v>36</v>
      </c>
      <c r="G296" s="16">
        <v>14.21</v>
      </c>
      <c r="H296" s="10">
        <v>793</v>
      </c>
      <c r="I296" s="10">
        <f t="shared" si="24"/>
        <v>9598.31976678358</v>
      </c>
      <c r="J296" s="12">
        <f t="shared" si="25"/>
        <v>0.274733355316456</v>
      </c>
      <c r="K296" s="3" t="b">
        <f t="shared" si="26"/>
        <v>1</v>
      </c>
      <c r="L296" s="3" t="b">
        <f t="shared" si="27"/>
        <v>1</v>
      </c>
      <c r="M296" s="3" t="str">
        <f t="shared" si="28"/>
        <v>Eligible</v>
      </c>
      <c r="N296" s="3" t="str">
        <f t="shared" si="29"/>
        <v/>
      </c>
      <c r="O296" s="3" t="s">
        <v>85</v>
      </c>
    </row>
    <row r="297" customHeight="1" spans="1:15">
      <c r="A297" s="3" t="s">
        <v>673</v>
      </c>
      <c r="B297" s="3" t="s">
        <v>674</v>
      </c>
      <c r="C297" s="10">
        <v>40963</v>
      </c>
      <c r="D297" s="10">
        <v>0</v>
      </c>
      <c r="E297" s="10">
        <v>580000</v>
      </c>
      <c r="F297" s="10">
        <v>48</v>
      </c>
      <c r="G297" s="16">
        <v>11.28</v>
      </c>
      <c r="H297" s="10">
        <v>683</v>
      </c>
      <c r="I297" s="10">
        <f t="shared" si="24"/>
        <v>15069.3915843323</v>
      </c>
      <c r="J297" s="12">
        <f t="shared" si="25"/>
        <v>0.367878123778345</v>
      </c>
      <c r="K297" s="3" t="b">
        <f t="shared" si="26"/>
        <v>1</v>
      </c>
      <c r="L297" s="3" t="b">
        <f t="shared" si="27"/>
        <v>0</v>
      </c>
      <c r="M297" s="3" t="str">
        <f t="shared" si="28"/>
        <v>Not Eligible</v>
      </c>
      <c r="N297" s="3" t="str">
        <f t="shared" si="29"/>
        <v>Credit score below 700</v>
      </c>
      <c r="O297" s="3" t="s">
        <v>85</v>
      </c>
    </row>
    <row r="298" customHeight="1" spans="1:15">
      <c r="A298" s="3" t="s">
        <v>675</v>
      </c>
      <c r="B298" s="3" t="s">
        <v>676</v>
      </c>
      <c r="C298" s="10">
        <v>49018</v>
      </c>
      <c r="D298" s="10">
        <v>0</v>
      </c>
      <c r="E298" s="10">
        <v>440000</v>
      </c>
      <c r="F298" s="10">
        <v>36</v>
      </c>
      <c r="G298" s="16">
        <v>13.17</v>
      </c>
      <c r="H298" s="10">
        <v>802</v>
      </c>
      <c r="I298" s="10">
        <f t="shared" si="24"/>
        <v>14861.392878405</v>
      </c>
      <c r="J298" s="12">
        <f t="shared" si="25"/>
        <v>0.30318235910084</v>
      </c>
      <c r="K298" s="3" t="b">
        <f t="shared" si="26"/>
        <v>1</v>
      </c>
      <c r="L298" s="3" t="b">
        <f t="shared" si="27"/>
        <v>1</v>
      </c>
      <c r="M298" s="3" t="str">
        <f t="shared" si="28"/>
        <v>Eligible</v>
      </c>
      <c r="N298" s="3" t="str">
        <f t="shared" si="29"/>
        <v/>
      </c>
      <c r="O298" s="3" t="s">
        <v>85</v>
      </c>
    </row>
    <row r="299" customHeight="1" spans="1:15">
      <c r="A299" s="3" t="s">
        <v>677</v>
      </c>
      <c r="B299" s="3" t="s">
        <v>678</v>
      </c>
      <c r="C299" s="10">
        <v>106157</v>
      </c>
      <c r="D299" s="10">
        <v>23197</v>
      </c>
      <c r="E299" s="10">
        <v>540000</v>
      </c>
      <c r="F299" s="10">
        <v>48</v>
      </c>
      <c r="G299" s="16">
        <v>11.4</v>
      </c>
      <c r="H299" s="10">
        <v>714</v>
      </c>
      <c r="I299" s="10">
        <f t="shared" si="24"/>
        <v>14061.7103352684</v>
      </c>
      <c r="J299" s="12">
        <f t="shared" si="25"/>
        <v>0.350977423394297</v>
      </c>
      <c r="K299" s="3" t="b">
        <f t="shared" si="26"/>
        <v>1</v>
      </c>
      <c r="L299" s="3" t="b">
        <f t="shared" si="27"/>
        <v>1</v>
      </c>
      <c r="M299" s="3" t="str">
        <f t="shared" si="28"/>
        <v>Eligible</v>
      </c>
      <c r="N299" s="3" t="str">
        <f t="shared" si="29"/>
        <v/>
      </c>
      <c r="O299" s="3" t="s">
        <v>85</v>
      </c>
    </row>
    <row r="300" customHeight="1" spans="1:15">
      <c r="A300" s="3" t="s">
        <v>679</v>
      </c>
      <c r="B300" s="3" t="s">
        <v>680</v>
      </c>
      <c r="C300" s="10">
        <v>28676</v>
      </c>
      <c r="D300" s="10">
        <v>2243</v>
      </c>
      <c r="E300" s="10">
        <v>630000</v>
      </c>
      <c r="F300" s="10">
        <v>60</v>
      </c>
      <c r="G300" s="16">
        <v>9.8</v>
      </c>
      <c r="H300" s="10">
        <v>731</v>
      </c>
      <c r="I300" s="10">
        <f t="shared" si="24"/>
        <v>13323.7253467626</v>
      </c>
      <c r="J300" s="12">
        <f t="shared" si="25"/>
        <v>0.542848561401958</v>
      </c>
      <c r="K300" s="3" t="b">
        <f t="shared" si="26"/>
        <v>0</v>
      </c>
      <c r="L300" s="3" t="b">
        <f t="shared" si="27"/>
        <v>1</v>
      </c>
      <c r="M300" s="3" t="str">
        <f t="shared" si="28"/>
        <v>Not Eligible</v>
      </c>
      <c r="N300" s="3" t="str">
        <f t="shared" si="29"/>
        <v>FOIR exceeds 50%</v>
      </c>
      <c r="O300" s="3" t="s">
        <v>85</v>
      </c>
    </row>
    <row r="301" customHeight="1" spans="1:15">
      <c r="A301" s="3" t="s">
        <v>681</v>
      </c>
      <c r="B301" s="3" t="s">
        <v>682</v>
      </c>
      <c r="C301" s="10">
        <v>98939</v>
      </c>
      <c r="D301" s="10">
        <v>0</v>
      </c>
      <c r="E301" s="10">
        <v>1300000</v>
      </c>
      <c r="F301" s="10">
        <v>84</v>
      </c>
      <c r="G301" s="16">
        <v>10.64</v>
      </c>
      <c r="H301" s="10">
        <v>759</v>
      </c>
      <c r="I301" s="10">
        <f t="shared" si="24"/>
        <v>22013.859642707</v>
      </c>
      <c r="J301" s="12">
        <f t="shared" si="25"/>
        <v>0.222499314150204</v>
      </c>
      <c r="K301" s="3" t="b">
        <f t="shared" si="26"/>
        <v>1</v>
      </c>
      <c r="L301" s="3" t="b">
        <f t="shared" si="27"/>
        <v>1</v>
      </c>
      <c r="M301" s="3" t="str">
        <f t="shared" si="28"/>
        <v>Eligible</v>
      </c>
      <c r="N301" s="3" t="str">
        <f t="shared" si="29"/>
        <v/>
      </c>
      <c r="O301" s="3" t="s">
        <v>85</v>
      </c>
    </row>
    <row r="302" customHeight="1" spans="1:15">
      <c r="A302" s="3" t="s">
        <v>683</v>
      </c>
      <c r="B302" s="3" t="s">
        <v>684</v>
      </c>
      <c r="C302" s="10">
        <v>93213</v>
      </c>
      <c r="D302" s="10">
        <v>0</v>
      </c>
      <c r="E302" s="10">
        <v>2420000</v>
      </c>
      <c r="F302" s="10">
        <v>240</v>
      </c>
      <c r="G302" s="16">
        <v>8.51</v>
      </c>
      <c r="H302" s="10">
        <v>799</v>
      </c>
      <c r="I302" s="10">
        <f t="shared" si="24"/>
        <v>21016.6413100922</v>
      </c>
      <c r="J302" s="12">
        <f t="shared" si="25"/>
        <v>0.225468993703584</v>
      </c>
      <c r="K302" s="3" t="b">
        <f t="shared" si="26"/>
        <v>1</v>
      </c>
      <c r="L302" s="3" t="b">
        <f t="shared" si="27"/>
        <v>1</v>
      </c>
      <c r="M302" s="3" t="str">
        <f t="shared" si="28"/>
        <v>Eligible</v>
      </c>
      <c r="N302" s="3" t="str">
        <f t="shared" si="29"/>
        <v/>
      </c>
      <c r="O302" s="3" t="s">
        <v>85</v>
      </c>
    </row>
    <row r="303" customHeight="1" spans="1:15">
      <c r="A303" s="3" t="s">
        <v>685</v>
      </c>
      <c r="B303" s="3" t="s">
        <v>686</v>
      </c>
      <c r="C303" s="10">
        <v>40829</v>
      </c>
      <c r="D303" s="10">
        <v>9062</v>
      </c>
      <c r="E303" s="10">
        <v>1040000</v>
      </c>
      <c r="F303" s="10">
        <v>60</v>
      </c>
      <c r="G303" s="16">
        <v>9.43</v>
      </c>
      <c r="H303" s="10">
        <v>769</v>
      </c>
      <c r="I303" s="10">
        <f t="shared" si="24"/>
        <v>21806.3761449856</v>
      </c>
      <c r="J303" s="12">
        <f t="shared" si="25"/>
        <v>0.756040464987769</v>
      </c>
      <c r="K303" s="3" t="b">
        <f t="shared" si="26"/>
        <v>0</v>
      </c>
      <c r="L303" s="3" t="b">
        <f t="shared" si="27"/>
        <v>1</v>
      </c>
      <c r="M303" s="3" t="str">
        <f t="shared" si="28"/>
        <v>Not Eligible</v>
      </c>
      <c r="N303" s="3" t="str">
        <f t="shared" si="29"/>
        <v>FOIR exceeds 50%</v>
      </c>
      <c r="O303" s="3" t="s">
        <v>85</v>
      </c>
    </row>
    <row r="304" customHeight="1" spans="1:15">
      <c r="A304" s="3" t="s">
        <v>687</v>
      </c>
      <c r="B304" s="3" t="s">
        <v>688</v>
      </c>
      <c r="C304" s="10">
        <v>54722</v>
      </c>
      <c r="D304" s="10">
        <v>0</v>
      </c>
      <c r="E304" s="10">
        <v>750000</v>
      </c>
      <c r="F304" s="10">
        <v>60</v>
      </c>
      <c r="G304" s="16">
        <v>9.66</v>
      </c>
      <c r="H304" s="10">
        <v>775</v>
      </c>
      <c r="I304" s="10">
        <f t="shared" si="24"/>
        <v>15810.1033081098</v>
      </c>
      <c r="J304" s="12">
        <f t="shared" si="25"/>
        <v>0.288916766713749</v>
      </c>
      <c r="K304" s="3" t="b">
        <f t="shared" si="26"/>
        <v>1</v>
      </c>
      <c r="L304" s="3" t="b">
        <f t="shared" si="27"/>
        <v>1</v>
      </c>
      <c r="M304" s="3" t="str">
        <f t="shared" si="28"/>
        <v>Eligible</v>
      </c>
      <c r="N304" s="3" t="str">
        <f t="shared" si="29"/>
        <v/>
      </c>
      <c r="O304" s="3" t="s">
        <v>85</v>
      </c>
    </row>
    <row r="305" customHeight="1" spans="1:15">
      <c r="A305" s="3" t="s">
        <v>689</v>
      </c>
      <c r="B305" s="3" t="s">
        <v>690</v>
      </c>
      <c r="C305" s="10">
        <v>48971</v>
      </c>
      <c r="D305" s="10">
        <v>9156</v>
      </c>
      <c r="E305" s="10">
        <v>210000</v>
      </c>
      <c r="F305" s="10">
        <v>36</v>
      </c>
      <c r="G305" s="16">
        <v>13.66</v>
      </c>
      <c r="H305" s="10">
        <v>764</v>
      </c>
      <c r="I305" s="10">
        <f t="shared" si="24"/>
        <v>7142.67275874363</v>
      </c>
      <c r="J305" s="12">
        <f t="shared" si="25"/>
        <v>0.332822951517094</v>
      </c>
      <c r="K305" s="3" t="b">
        <f t="shared" si="26"/>
        <v>1</v>
      </c>
      <c r="L305" s="3" t="b">
        <f t="shared" si="27"/>
        <v>1</v>
      </c>
      <c r="M305" s="3" t="str">
        <f t="shared" si="28"/>
        <v>Eligible</v>
      </c>
      <c r="N305" s="3" t="str">
        <f t="shared" si="29"/>
        <v/>
      </c>
      <c r="O305" s="3" t="s">
        <v>85</v>
      </c>
    </row>
    <row r="306" customHeight="1" spans="1:15">
      <c r="A306" s="3" t="s">
        <v>691</v>
      </c>
      <c r="B306" s="3" t="s">
        <v>692</v>
      </c>
      <c r="C306" s="10">
        <v>36313</v>
      </c>
      <c r="D306" s="10">
        <v>0</v>
      </c>
      <c r="E306" s="10">
        <v>3080000</v>
      </c>
      <c r="F306" s="10">
        <v>240</v>
      </c>
      <c r="G306" s="16">
        <v>9.06</v>
      </c>
      <c r="H306" s="10">
        <v>661</v>
      </c>
      <c r="I306" s="10">
        <f t="shared" si="24"/>
        <v>27830.5224128608</v>
      </c>
      <c r="J306" s="12">
        <f t="shared" si="25"/>
        <v>0.766406587526804</v>
      </c>
      <c r="K306" s="3" t="b">
        <f t="shared" si="26"/>
        <v>0</v>
      </c>
      <c r="L306" s="3" t="b">
        <f t="shared" si="27"/>
        <v>0</v>
      </c>
      <c r="M306" s="3" t="str">
        <f t="shared" si="28"/>
        <v>Not Eligible</v>
      </c>
      <c r="N306" s="3" t="str">
        <f t="shared" si="29"/>
        <v>FOIR exceeds 50% and credit score below 700</v>
      </c>
      <c r="O306" s="3" t="s">
        <v>85</v>
      </c>
    </row>
    <row r="307" customHeight="1" spans="1:15">
      <c r="A307" s="3" t="s">
        <v>693</v>
      </c>
      <c r="B307" s="3" t="s">
        <v>224</v>
      </c>
      <c r="C307" s="10">
        <v>75062</v>
      </c>
      <c r="D307" s="10">
        <v>0</v>
      </c>
      <c r="E307" s="10">
        <v>820000</v>
      </c>
      <c r="F307" s="10">
        <v>84</v>
      </c>
      <c r="G307" s="16">
        <v>10.94</v>
      </c>
      <c r="H307" s="10">
        <v>753</v>
      </c>
      <c r="I307" s="10">
        <f t="shared" si="24"/>
        <v>14014.5422581272</v>
      </c>
      <c r="J307" s="12">
        <f t="shared" si="25"/>
        <v>0.186706219633466</v>
      </c>
      <c r="K307" s="3" t="b">
        <f t="shared" si="26"/>
        <v>1</v>
      </c>
      <c r="L307" s="3" t="b">
        <f t="shared" si="27"/>
        <v>1</v>
      </c>
      <c r="M307" s="3" t="str">
        <f t="shared" si="28"/>
        <v>Eligible</v>
      </c>
      <c r="N307" s="3" t="str">
        <f t="shared" si="29"/>
        <v/>
      </c>
      <c r="O307" s="3" t="s">
        <v>85</v>
      </c>
    </row>
    <row r="308" customHeight="1" spans="1:15">
      <c r="A308" s="3" t="s">
        <v>694</v>
      </c>
      <c r="B308" s="3" t="s">
        <v>695</v>
      </c>
      <c r="C308" s="10">
        <v>63194</v>
      </c>
      <c r="D308" s="10">
        <v>0</v>
      </c>
      <c r="E308" s="10">
        <v>1080000</v>
      </c>
      <c r="F308" s="10">
        <v>60</v>
      </c>
      <c r="G308" s="16">
        <v>10.54</v>
      </c>
      <c r="H308" s="10">
        <v>671</v>
      </c>
      <c r="I308" s="10">
        <f t="shared" si="24"/>
        <v>23234.8185911285</v>
      </c>
      <c r="J308" s="12">
        <f t="shared" si="25"/>
        <v>0.367674440471065</v>
      </c>
      <c r="K308" s="3" t="b">
        <f t="shared" si="26"/>
        <v>1</v>
      </c>
      <c r="L308" s="3" t="b">
        <f t="shared" si="27"/>
        <v>0</v>
      </c>
      <c r="M308" s="3" t="str">
        <f t="shared" si="28"/>
        <v>Not Eligible</v>
      </c>
      <c r="N308" s="3" t="str">
        <f t="shared" si="29"/>
        <v>Credit score below 700</v>
      </c>
      <c r="O308" s="3" t="s">
        <v>85</v>
      </c>
    </row>
    <row r="309" customHeight="1" spans="1:15">
      <c r="A309" s="3" t="s">
        <v>696</v>
      </c>
      <c r="B309" s="3" t="s">
        <v>697</v>
      </c>
      <c r="C309" s="10">
        <v>34785</v>
      </c>
      <c r="D309" s="10">
        <v>11554</v>
      </c>
      <c r="E309" s="10">
        <v>800000</v>
      </c>
      <c r="F309" s="10">
        <v>60</v>
      </c>
      <c r="G309" s="16">
        <v>13.78</v>
      </c>
      <c r="H309" s="10">
        <v>775</v>
      </c>
      <c r="I309" s="10">
        <f t="shared" si="24"/>
        <v>18523.4816704392</v>
      </c>
      <c r="J309" s="12">
        <f t="shared" si="25"/>
        <v>0.864668152089671</v>
      </c>
      <c r="K309" s="3" t="b">
        <f t="shared" si="26"/>
        <v>0</v>
      </c>
      <c r="L309" s="3" t="b">
        <f t="shared" si="27"/>
        <v>1</v>
      </c>
      <c r="M309" s="3" t="str">
        <f t="shared" si="28"/>
        <v>Not Eligible</v>
      </c>
      <c r="N309" s="3" t="str">
        <f t="shared" si="29"/>
        <v>FOIR exceeds 50%</v>
      </c>
      <c r="O309" s="3" t="s">
        <v>85</v>
      </c>
    </row>
    <row r="310" customHeight="1" spans="1:15">
      <c r="A310" s="3" t="s">
        <v>698</v>
      </c>
      <c r="B310" s="3" t="s">
        <v>699</v>
      </c>
      <c r="C310" s="10">
        <v>42583</v>
      </c>
      <c r="D310" s="10">
        <v>9232</v>
      </c>
      <c r="E310" s="10">
        <v>310000</v>
      </c>
      <c r="F310" s="10">
        <v>48</v>
      </c>
      <c r="G310" s="16">
        <v>11.99</v>
      </c>
      <c r="H310" s="10">
        <v>707</v>
      </c>
      <c r="I310" s="10">
        <f t="shared" si="24"/>
        <v>8161.96699437661</v>
      </c>
      <c r="J310" s="12">
        <f t="shared" si="25"/>
        <v>0.408472089669037</v>
      </c>
      <c r="K310" s="3" t="b">
        <f t="shared" si="26"/>
        <v>1</v>
      </c>
      <c r="L310" s="3" t="b">
        <f t="shared" si="27"/>
        <v>1</v>
      </c>
      <c r="M310" s="3" t="str">
        <f t="shared" si="28"/>
        <v>Eligible</v>
      </c>
      <c r="N310" s="3" t="str">
        <f t="shared" si="29"/>
        <v/>
      </c>
      <c r="O310" s="3" t="s">
        <v>85</v>
      </c>
    </row>
    <row r="311" customHeight="1" spans="1:15">
      <c r="A311" s="3" t="s">
        <v>700</v>
      </c>
      <c r="B311" s="3" t="s">
        <v>701</v>
      </c>
      <c r="C311" s="10">
        <v>109589</v>
      </c>
      <c r="D311" s="10">
        <v>0</v>
      </c>
      <c r="E311" s="10">
        <v>500000</v>
      </c>
      <c r="F311" s="10">
        <v>48</v>
      </c>
      <c r="G311" s="16">
        <v>10.84</v>
      </c>
      <c r="H311" s="10">
        <v>735</v>
      </c>
      <c r="I311" s="10">
        <f t="shared" si="24"/>
        <v>12883.9452899946</v>
      </c>
      <c r="J311" s="12">
        <f t="shared" si="25"/>
        <v>0.117566044858467</v>
      </c>
      <c r="K311" s="3" t="b">
        <f t="shared" si="26"/>
        <v>1</v>
      </c>
      <c r="L311" s="3" t="b">
        <f t="shared" si="27"/>
        <v>1</v>
      </c>
      <c r="M311" s="3" t="str">
        <f t="shared" si="28"/>
        <v>Eligible</v>
      </c>
      <c r="N311" s="3" t="str">
        <f t="shared" si="29"/>
        <v/>
      </c>
      <c r="O311" s="3" t="s">
        <v>85</v>
      </c>
    </row>
    <row r="312" customHeight="1" spans="1:15">
      <c r="A312" s="3" t="s">
        <v>702</v>
      </c>
      <c r="B312" s="3" t="s">
        <v>703</v>
      </c>
      <c r="C312" s="10">
        <v>130566</v>
      </c>
      <c r="D312" s="10">
        <v>31221</v>
      </c>
      <c r="E312" s="10">
        <v>650000</v>
      </c>
      <c r="F312" s="10">
        <v>84</v>
      </c>
      <c r="G312" s="16">
        <v>10.57</v>
      </c>
      <c r="H312" s="10">
        <v>705</v>
      </c>
      <c r="I312" s="10">
        <f t="shared" si="24"/>
        <v>10983.1692088275</v>
      </c>
      <c r="J312" s="12">
        <f t="shared" si="25"/>
        <v>0.323240117709262</v>
      </c>
      <c r="K312" s="3" t="b">
        <f t="shared" si="26"/>
        <v>1</v>
      </c>
      <c r="L312" s="3" t="b">
        <f t="shared" si="27"/>
        <v>1</v>
      </c>
      <c r="M312" s="3" t="str">
        <f t="shared" si="28"/>
        <v>Eligible</v>
      </c>
      <c r="N312" s="3" t="str">
        <f t="shared" si="29"/>
        <v/>
      </c>
      <c r="O312" s="3" t="s">
        <v>85</v>
      </c>
    </row>
    <row r="313" customHeight="1" spans="1:15">
      <c r="A313" s="3" t="s">
        <v>704</v>
      </c>
      <c r="B313" s="3" t="s">
        <v>705</v>
      </c>
      <c r="C313" s="10">
        <v>125587</v>
      </c>
      <c r="D313" s="10">
        <v>0</v>
      </c>
      <c r="E313" s="10">
        <v>750000</v>
      </c>
      <c r="F313" s="10">
        <v>84</v>
      </c>
      <c r="G313" s="16">
        <v>10.91</v>
      </c>
      <c r="H313" s="10">
        <v>764</v>
      </c>
      <c r="I313" s="10">
        <f t="shared" si="24"/>
        <v>12806.3638418286</v>
      </c>
      <c r="J313" s="12">
        <f t="shared" si="25"/>
        <v>0.101972049987886</v>
      </c>
      <c r="K313" s="3" t="b">
        <f t="shared" si="26"/>
        <v>1</v>
      </c>
      <c r="L313" s="3" t="b">
        <f t="shared" si="27"/>
        <v>1</v>
      </c>
      <c r="M313" s="3" t="str">
        <f t="shared" si="28"/>
        <v>Eligible</v>
      </c>
      <c r="N313" s="3" t="str">
        <f t="shared" si="29"/>
        <v/>
      </c>
      <c r="O313" s="3" t="s">
        <v>85</v>
      </c>
    </row>
    <row r="314" customHeight="1" spans="1:15">
      <c r="A314" s="3" t="s">
        <v>706</v>
      </c>
      <c r="B314" s="3" t="s">
        <v>517</v>
      </c>
      <c r="C314" s="10">
        <v>56085</v>
      </c>
      <c r="D314" s="10">
        <v>0</v>
      </c>
      <c r="E314" s="10">
        <v>290000</v>
      </c>
      <c r="F314" s="10">
        <v>84</v>
      </c>
      <c r="G314" s="16">
        <v>11.5</v>
      </c>
      <c r="H314" s="10">
        <v>736</v>
      </c>
      <c r="I314" s="10">
        <f t="shared" si="24"/>
        <v>5042.07363786966</v>
      </c>
      <c r="J314" s="12">
        <f t="shared" si="25"/>
        <v>0.089900573020766</v>
      </c>
      <c r="K314" s="3" t="b">
        <f t="shared" si="26"/>
        <v>1</v>
      </c>
      <c r="L314" s="3" t="b">
        <f t="shared" si="27"/>
        <v>1</v>
      </c>
      <c r="M314" s="3" t="str">
        <f t="shared" si="28"/>
        <v>Eligible</v>
      </c>
      <c r="N314" s="3" t="str">
        <f t="shared" si="29"/>
        <v/>
      </c>
      <c r="O314" s="3" t="s">
        <v>85</v>
      </c>
    </row>
    <row r="315" customHeight="1" spans="1:15">
      <c r="A315" s="3" t="s">
        <v>707</v>
      </c>
      <c r="B315" s="3" t="s">
        <v>708</v>
      </c>
      <c r="C315" s="10">
        <v>67619</v>
      </c>
      <c r="D315" s="10">
        <v>0</v>
      </c>
      <c r="E315" s="10">
        <v>500000</v>
      </c>
      <c r="F315" s="10">
        <v>60</v>
      </c>
      <c r="G315" s="16">
        <v>9.39</v>
      </c>
      <c r="H315" s="10">
        <v>687</v>
      </c>
      <c r="I315" s="10">
        <f t="shared" si="24"/>
        <v>10474.0729423879</v>
      </c>
      <c r="J315" s="12">
        <f t="shared" si="25"/>
        <v>0.154898370907406</v>
      </c>
      <c r="K315" s="3" t="b">
        <f t="shared" si="26"/>
        <v>1</v>
      </c>
      <c r="L315" s="3" t="b">
        <f t="shared" si="27"/>
        <v>0</v>
      </c>
      <c r="M315" s="3" t="str">
        <f t="shared" si="28"/>
        <v>Not Eligible</v>
      </c>
      <c r="N315" s="3" t="str">
        <f t="shared" si="29"/>
        <v>Credit score below 700</v>
      </c>
      <c r="O315" s="3" t="s">
        <v>85</v>
      </c>
    </row>
    <row r="316" customHeight="1" spans="1:15">
      <c r="A316" s="3" t="s">
        <v>709</v>
      </c>
      <c r="B316" s="3" t="s">
        <v>710</v>
      </c>
      <c r="C316" s="10">
        <v>54595</v>
      </c>
      <c r="D316" s="10">
        <v>16043</v>
      </c>
      <c r="E316" s="10">
        <v>680000</v>
      </c>
      <c r="F316" s="10">
        <v>48</v>
      </c>
      <c r="G316" s="16">
        <v>11.11</v>
      </c>
      <c r="H316" s="10">
        <v>615</v>
      </c>
      <c r="I316" s="10">
        <f t="shared" si="24"/>
        <v>17611.3026190627</v>
      </c>
      <c r="J316" s="12">
        <f t="shared" si="25"/>
        <v>0.616435618995562</v>
      </c>
      <c r="K316" s="3" t="b">
        <f t="shared" si="26"/>
        <v>0</v>
      </c>
      <c r="L316" s="3" t="b">
        <f t="shared" si="27"/>
        <v>0</v>
      </c>
      <c r="M316" s="3" t="str">
        <f t="shared" si="28"/>
        <v>Not Eligible</v>
      </c>
      <c r="N316" s="3" t="str">
        <f t="shared" si="29"/>
        <v>FOIR exceeds 50% and credit score below 700</v>
      </c>
      <c r="O316" s="3" t="s">
        <v>91</v>
      </c>
    </row>
    <row r="317" customHeight="1" spans="1:15">
      <c r="A317" s="3" t="s">
        <v>711</v>
      </c>
      <c r="B317" s="3" t="s">
        <v>712</v>
      </c>
      <c r="C317" s="10">
        <v>24192</v>
      </c>
      <c r="D317" s="10">
        <v>0</v>
      </c>
      <c r="E317" s="10">
        <v>330000</v>
      </c>
      <c r="F317" s="10">
        <v>36</v>
      </c>
      <c r="G317" s="16">
        <v>13.29</v>
      </c>
      <c r="H317" s="10">
        <v>830</v>
      </c>
      <c r="I317" s="10">
        <f t="shared" si="24"/>
        <v>11165.1552288752</v>
      </c>
      <c r="J317" s="12">
        <f t="shared" si="25"/>
        <v>0.461522620241203</v>
      </c>
      <c r="K317" s="3" t="b">
        <f t="shared" si="26"/>
        <v>1</v>
      </c>
      <c r="L317" s="3" t="b">
        <f t="shared" si="27"/>
        <v>1</v>
      </c>
      <c r="M317" s="3" t="str">
        <f t="shared" si="28"/>
        <v>Eligible</v>
      </c>
      <c r="N317" s="3" t="str">
        <f t="shared" si="29"/>
        <v/>
      </c>
      <c r="O317" s="3" t="s">
        <v>85</v>
      </c>
    </row>
    <row r="318" customHeight="1" spans="1:15">
      <c r="A318" s="3" t="s">
        <v>713</v>
      </c>
      <c r="B318" s="3" t="s">
        <v>714</v>
      </c>
      <c r="C318" s="10">
        <v>55509</v>
      </c>
      <c r="D318" s="10">
        <v>0</v>
      </c>
      <c r="E318" s="10">
        <v>1110000</v>
      </c>
      <c r="F318" s="10">
        <v>60</v>
      </c>
      <c r="G318" s="16">
        <v>9.74</v>
      </c>
      <c r="H318" s="10">
        <v>609</v>
      </c>
      <c r="I318" s="10">
        <f t="shared" si="24"/>
        <v>23442.4677550865</v>
      </c>
      <c r="J318" s="12">
        <f t="shared" si="25"/>
        <v>0.422318322345682</v>
      </c>
      <c r="K318" s="3" t="b">
        <f t="shared" si="26"/>
        <v>1</v>
      </c>
      <c r="L318" s="3" t="b">
        <f t="shared" si="27"/>
        <v>0</v>
      </c>
      <c r="M318" s="3" t="str">
        <f t="shared" si="28"/>
        <v>Not Eligible</v>
      </c>
      <c r="N318" s="3" t="str">
        <f t="shared" si="29"/>
        <v>Credit score below 700</v>
      </c>
      <c r="O318" s="3" t="s">
        <v>85</v>
      </c>
    </row>
    <row r="319" customHeight="1" spans="1:15">
      <c r="A319" s="3" t="s">
        <v>715</v>
      </c>
      <c r="B319" s="3" t="s">
        <v>716</v>
      </c>
      <c r="C319" s="10">
        <v>53055</v>
      </c>
      <c r="D319" s="10">
        <v>8905</v>
      </c>
      <c r="E319" s="10">
        <v>190000</v>
      </c>
      <c r="F319" s="10">
        <v>36</v>
      </c>
      <c r="G319" s="16">
        <v>14.59</v>
      </c>
      <c r="H319" s="10">
        <v>786</v>
      </c>
      <c r="I319" s="10">
        <f t="shared" si="24"/>
        <v>6548.32846158066</v>
      </c>
      <c r="J319" s="12">
        <f t="shared" si="25"/>
        <v>0.291269973830566</v>
      </c>
      <c r="K319" s="3" t="b">
        <f t="shared" si="26"/>
        <v>1</v>
      </c>
      <c r="L319" s="3" t="b">
        <f t="shared" si="27"/>
        <v>1</v>
      </c>
      <c r="M319" s="3" t="str">
        <f t="shared" si="28"/>
        <v>Eligible</v>
      </c>
      <c r="N319" s="3" t="str">
        <f t="shared" si="29"/>
        <v/>
      </c>
      <c r="O319" s="3" t="s">
        <v>85</v>
      </c>
    </row>
    <row r="320" customHeight="1" spans="1:15">
      <c r="A320" s="3" t="s">
        <v>717</v>
      </c>
      <c r="B320" s="3" t="s">
        <v>448</v>
      </c>
      <c r="C320" s="10">
        <v>79530</v>
      </c>
      <c r="D320" s="10">
        <v>0</v>
      </c>
      <c r="E320" s="10">
        <v>1260000</v>
      </c>
      <c r="F320" s="10">
        <v>60</v>
      </c>
      <c r="G320" s="16">
        <v>15</v>
      </c>
      <c r="H320" s="10">
        <v>810</v>
      </c>
      <c r="I320" s="10">
        <f t="shared" si="24"/>
        <v>29975.3119088121</v>
      </c>
      <c r="J320" s="12">
        <f t="shared" si="25"/>
        <v>0.376905719964945</v>
      </c>
      <c r="K320" s="3" t="b">
        <f t="shared" si="26"/>
        <v>1</v>
      </c>
      <c r="L320" s="3" t="b">
        <f t="shared" si="27"/>
        <v>1</v>
      </c>
      <c r="M320" s="3" t="str">
        <f t="shared" si="28"/>
        <v>Eligible</v>
      </c>
      <c r="N320" s="3" t="str">
        <f t="shared" si="29"/>
        <v/>
      </c>
      <c r="O320" s="3" t="s">
        <v>85</v>
      </c>
    </row>
    <row r="321" customHeight="1" spans="1:15">
      <c r="A321" s="3" t="s">
        <v>718</v>
      </c>
      <c r="B321" s="3" t="s">
        <v>719</v>
      </c>
      <c r="C321" s="10">
        <v>41583</v>
      </c>
      <c r="D321" s="10">
        <v>8459</v>
      </c>
      <c r="E321" s="10">
        <v>1070000</v>
      </c>
      <c r="F321" s="10">
        <v>84</v>
      </c>
      <c r="G321" s="16">
        <v>10.27</v>
      </c>
      <c r="H321" s="10">
        <v>800</v>
      </c>
      <c r="I321" s="10">
        <f t="shared" si="24"/>
        <v>17912.8966734735</v>
      </c>
      <c r="J321" s="12">
        <f t="shared" si="25"/>
        <v>0.634198991738774</v>
      </c>
      <c r="K321" s="3" t="b">
        <f t="shared" si="26"/>
        <v>0</v>
      </c>
      <c r="L321" s="3" t="b">
        <f t="shared" si="27"/>
        <v>1</v>
      </c>
      <c r="M321" s="3" t="str">
        <f t="shared" si="28"/>
        <v>Not Eligible</v>
      </c>
      <c r="N321" s="3" t="str">
        <f t="shared" si="29"/>
        <v>FOIR exceeds 50%</v>
      </c>
      <c r="O321" s="3" t="s">
        <v>85</v>
      </c>
    </row>
    <row r="322" customHeight="1" spans="1:15">
      <c r="A322" s="3" t="s">
        <v>720</v>
      </c>
      <c r="B322" s="3" t="s">
        <v>721</v>
      </c>
      <c r="C322" s="10">
        <v>109565</v>
      </c>
      <c r="D322" s="10">
        <v>5386</v>
      </c>
      <c r="E322" s="10">
        <v>860000</v>
      </c>
      <c r="F322" s="10">
        <v>84</v>
      </c>
      <c r="G322" s="16">
        <v>11.47</v>
      </c>
      <c r="H322" s="10">
        <v>652</v>
      </c>
      <c r="I322" s="10">
        <f t="shared" ref="I322:I385" si="30">IF(F322&lt;=0,"",IF(G322=0,E322/F322,E322*(G322/12/100)*(1+G322/12/100)^F322/((1+G322/12/100)^F322-1)))</f>
        <v>14938.6780209742</v>
      </c>
      <c r="J322" s="12">
        <f t="shared" ref="J322:J385" si="31">IF(C322&lt;=0,"",(D322+I322)/C322)</f>
        <v>0.18550338174576</v>
      </c>
      <c r="K322" s="3" t="b">
        <f t="shared" ref="K322:K385" si="32">IF(J322="","",J322&lt;=50%)</f>
        <v>1</v>
      </c>
      <c r="L322" s="3" t="b">
        <f t="shared" ref="L322:L385" si="33">H322&gt;=700</f>
        <v>0</v>
      </c>
      <c r="M322" s="3" t="str">
        <f t="shared" ref="M322:M385" si="34">IF(AND(K322,L322),"Eligible","Not Eligible")</f>
        <v>Not Eligible</v>
      </c>
      <c r="N322" s="3" t="str">
        <f t="shared" ref="N322:N385" si="35">IF(M322="Eligible","",IF(AND(NOT(K322),NOT(L322)),"FOIR exceeds 50% and credit score below 700",IF(NOT(K322),"FOIR exceeds 50%","Credit score below 700")))</f>
        <v>Credit score below 700</v>
      </c>
      <c r="O322" s="3" t="s">
        <v>85</v>
      </c>
    </row>
    <row r="323" customHeight="1" spans="1:15">
      <c r="A323" s="3" t="s">
        <v>722</v>
      </c>
      <c r="B323" s="3" t="s">
        <v>712</v>
      </c>
      <c r="C323" s="10">
        <v>106163</v>
      </c>
      <c r="D323" s="10">
        <v>44276</v>
      </c>
      <c r="E323" s="10">
        <v>280000</v>
      </c>
      <c r="F323" s="10">
        <v>48</v>
      </c>
      <c r="G323" s="16">
        <v>11.68</v>
      </c>
      <c r="H323" s="10">
        <v>740</v>
      </c>
      <c r="I323" s="10">
        <f t="shared" si="30"/>
        <v>7329.55782461444</v>
      </c>
      <c r="J323" s="12">
        <f t="shared" si="31"/>
        <v>0.4860973957463</v>
      </c>
      <c r="K323" s="3" t="b">
        <f t="shared" si="32"/>
        <v>1</v>
      </c>
      <c r="L323" s="3" t="b">
        <f t="shared" si="33"/>
        <v>1</v>
      </c>
      <c r="M323" s="3" t="str">
        <f t="shared" si="34"/>
        <v>Eligible</v>
      </c>
      <c r="N323" s="3" t="str">
        <f t="shared" si="35"/>
        <v/>
      </c>
      <c r="O323" s="3" t="s">
        <v>85</v>
      </c>
    </row>
    <row r="324" customHeight="1" spans="1:15">
      <c r="A324" s="3" t="s">
        <v>723</v>
      </c>
      <c r="B324" s="3" t="s">
        <v>724</v>
      </c>
      <c r="C324" s="10">
        <v>30502</v>
      </c>
      <c r="D324" s="10">
        <v>0</v>
      </c>
      <c r="E324" s="10">
        <v>430000</v>
      </c>
      <c r="F324" s="10">
        <v>36</v>
      </c>
      <c r="G324" s="16">
        <v>14.08</v>
      </c>
      <c r="H324" s="10">
        <v>640</v>
      </c>
      <c r="I324" s="10">
        <f t="shared" si="30"/>
        <v>14713.0940895525</v>
      </c>
      <c r="J324" s="12">
        <f t="shared" si="31"/>
        <v>0.482364897041258</v>
      </c>
      <c r="K324" s="3" t="b">
        <f t="shared" si="32"/>
        <v>1</v>
      </c>
      <c r="L324" s="3" t="b">
        <f t="shared" si="33"/>
        <v>0</v>
      </c>
      <c r="M324" s="3" t="str">
        <f t="shared" si="34"/>
        <v>Not Eligible</v>
      </c>
      <c r="N324" s="3" t="str">
        <f t="shared" si="35"/>
        <v>Credit score below 700</v>
      </c>
      <c r="O324" s="3" t="s">
        <v>85</v>
      </c>
    </row>
    <row r="325" customHeight="1" spans="1:15">
      <c r="A325" s="3" t="s">
        <v>725</v>
      </c>
      <c r="B325" s="3" t="s">
        <v>726</v>
      </c>
      <c r="C325" s="10">
        <v>58433</v>
      </c>
      <c r="D325" s="10">
        <v>4281</v>
      </c>
      <c r="E325" s="10">
        <v>1410000</v>
      </c>
      <c r="F325" s="10">
        <v>84</v>
      </c>
      <c r="G325" s="16">
        <v>10.4</v>
      </c>
      <c r="H325" s="10">
        <v>657</v>
      </c>
      <c r="I325" s="10">
        <f t="shared" si="30"/>
        <v>23700.1161032506</v>
      </c>
      <c r="J325" s="12">
        <f t="shared" si="31"/>
        <v>0.478858112765912</v>
      </c>
      <c r="K325" s="3" t="b">
        <f t="shared" si="32"/>
        <v>1</v>
      </c>
      <c r="L325" s="3" t="b">
        <f t="shared" si="33"/>
        <v>0</v>
      </c>
      <c r="M325" s="3" t="str">
        <f t="shared" si="34"/>
        <v>Not Eligible</v>
      </c>
      <c r="N325" s="3" t="str">
        <f t="shared" si="35"/>
        <v>Credit score below 700</v>
      </c>
      <c r="O325" s="3" t="s">
        <v>85</v>
      </c>
    </row>
    <row r="326" customHeight="1" spans="1:15">
      <c r="A326" s="3" t="s">
        <v>727</v>
      </c>
      <c r="B326" s="3" t="s">
        <v>728</v>
      </c>
      <c r="C326" s="10">
        <v>65886</v>
      </c>
      <c r="D326" s="10">
        <v>7784</v>
      </c>
      <c r="E326" s="10">
        <v>280000</v>
      </c>
      <c r="F326" s="10">
        <v>84</v>
      </c>
      <c r="G326" s="16">
        <v>10.65</v>
      </c>
      <c r="H326" s="10">
        <v>697</v>
      </c>
      <c r="I326" s="10">
        <f t="shared" si="30"/>
        <v>4742.9099012713</v>
      </c>
      <c r="J326" s="12">
        <f t="shared" si="31"/>
        <v>0.190130071658187</v>
      </c>
      <c r="K326" s="3" t="b">
        <f t="shared" si="32"/>
        <v>1</v>
      </c>
      <c r="L326" s="3" t="b">
        <f t="shared" si="33"/>
        <v>0</v>
      </c>
      <c r="M326" s="3" t="str">
        <f t="shared" si="34"/>
        <v>Not Eligible</v>
      </c>
      <c r="N326" s="3" t="str">
        <f t="shared" si="35"/>
        <v>Credit score below 700</v>
      </c>
      <c r="O326" s="3" t="s">
        <v>85</v>
      </c>
    </row>
    <row r="327" customHeight="1" spans="1:15">
      <c r="A327" s="3" t="s">
        <v>729</v>
      </c>
      <c r="B327" s="3" t="s">
        <v>730</v>
      </c>
      <c r="C327" s="10">
        <v>30932</v>
      </c>
      <c r="D327" s="10">
        <v>6530</v>
      </c>
      <c r="E327" s="10">
        <v>170000</v>
      </c>
      <c r="F327" s="10">
        <v>48</v>
      </c>
      <c r="G327" s="16">
        <v>11.85</v>
      </c>
      <c r="H327" s="10">
        <v>666</v>
      </c>
      <c r="I327" s="10">
        <f t="shared" si="30"/>
        <v>4464.24198051144</v>
      </c>
      <c r="J327" s="12">
        <f t="shared" si="31"/>
        <v>0.355432625776265</v>
      </c>
      <c r="K327" s="3" t="b">
        <f t="shared" si="32"/>
        <v>1</v>
      </c>
      <c r="L327" s="3" t="b">
        <f t="shared" si="33"/>
        <v>0</v>
      </c>
      <c r="M327" s="3" t="str">
        <f t="shared" si="34"/>
        <v>Not Eligible</v>
      </c>
      <c r="N327" s="3" t="str">
        <f t="shared" si="35"/>
        <v>Credit score below 700</v>
      </c>
      <c r="O327" s="3" t="s">
        <v>85</v>
      </c>
    </row>
    <row r="328" customHeight="1" spans="1:15">
      <c r="A328" s="3" t="s">
        <v>731</v>
      </c>
      <c r="B328" s="3" t="s">
        <v>732</v>
      </c>
      <c r="C328" s="10">
        <v>39497</v>
      </c>
      <c r="D328" s="10">
        <v>7182</v>
      </c>
      <c r="E328" s="10">
        <v>380000</v>
      </c>
      <c r="F328" s="10">
        <v>36</v>
      </c>
      <c r="G328" s="16">
        <v>13.24</v>
      </c>
      <c r="H328" s="10">
        <v>775</v>
      </c>
      <c r="I328" s="10">
        <f t="shared" si="30"/>
        <v>12847.673520693</v>
      </c>
      <c r="J328" s="12">
        <f t="shared" si="31"/>
        <v>0.507118857652303</v>
      </c>
      <c r="K328" s="3" t="b">
        <f t="shared" si="32"/>
        <v>0</v>
      </c>
      <c r="L328" s="3" t="b">
        <f t="shared" si="33"/>
        <v>1</v>
      </c>
      <c r="M328" s="3" t="str">
        <f t="shared" si="34"/>
        <v>Not Eligible</v>
      </c>
      <c r="N328" s="3" t="str">
        <f t="shared" si="35"/>
        <v>FOIR exceeds 50%</v>
      </c>
      <c r="O328" s="3" t="s">
        <v>85</v>
      </c>
    </row>
    <row r="329" customHeight="1" spans="1:15">
      <c r="A329" s="3" t="s">
        <v>733</v>
      </c>
      <c r="B329" s="3" t="s">
        <v>734</v>
      </c>
      <c r="C329" s="10">
        <v>46953</v>
      </c>
      <c r="D329" s="10">
        <v>0</v>
      </c>
      <c r="E329" s="10">
        <v>330000</v>
      </c>
      <c r="F329" s="10">
        <v>36</v>
      </c>
      <c r="G329" s="16">
        <v>13.15</v>
      </c>
      <c r="H329" s="10">
        <v>703</v>
      </c>
      <c r="I329" s="10">
        <f t="shared" si="30"/>
        <v>11142.8614269019</v>
      </c>
      <c r="J329" s="12">
        <f t="shared" si="31"/>
        <v>0.237319477496685</v>
      </c>
      <c r="K329" s="3" t="b">
        <f t="shared" si="32"/>
        <v>1</v>
      </c>
      <c r="L329" s="3" t="b">
        <f t="shared" si="33"/>
        <v>1</v>
      </c>
      <c r="M329" s="3" t="str">
        <f t="shared" si="34"/>
        <v>Eligible</v>
      </c>
      <c r="N329" s="3" t="str">
        <f t="shared" si="35"/>
        <v/>
      </c>
      <c r="O329" s="3" t="s">
        <v>85</v>
      </c>
    </row>
    <row r="330" customHeight="1" spans="1:15">
      <c r="A330" s="3" t="s">
        <v>735</v>
      </c>
      <c r="B330" s="3" t="s">
        <v>736</v>
      </c>
      <c r="C330" s="10">
        <v>111188</v>
      </c>
      <c r="D330" s="10">
        <v>13030</v>
      </c>
      <c r="E330" s="10">
        <v>1180000</v>
      </c>
      <c r="F330" s="10">
        <v>84</v>
      </c>
      <c r="G330" s="16">
        <v>10.71</v>
      </c>
      <c r="H330" s="10">
        <v>754</v>
      </c>
      <c r="I330" s="10">
        <f t="shared" si="30"/>
        <v>20024.9982248968</v>
      </c>
      <c r="J330" s="12">
        <f t="shared" si="31"/>
        <v>0.297289259856251</v>
      </c>
      <c r="K330" s="3" t="b">
        <f t="shared" si="32"/>
        <v>1</v>
      </c>
      <c r="L330" s="3" t="b">
        <f t="shared" si="33"/>
        <v>1</v>
      </c>
      <c r="M330" s="3" t="str">
        <f t="shared" si="34"/>
        <v>Eligible</v>
      </c>
      <c r="N330" s="3" t="str">
        <f t="shared" si="35"/>
        <v/>
      </c>
      <c r="O330" s="3" t="s">
        <v>85</v>
      </c>
    </row>
    <row r="331" customHeight="1" spans="1:15">
      <c r="A331" s="3" t="s">
        <v>737</v>
      </c>
      <c r="B331" s="3" t="s">
        <v>738</v>
      </c>
      <c r="C331" s="10">
        <v>83968</v>
      </c>
      <c r="D331" s="10">
        <v>0</v>
      </c>
      <c r="E331" s="10">
        <v>340000</v>
      </c>
      <c r="F331" s="10">
        <v>48</v>
      </c>
      <c r="G331" s="16">
        <v>11.52</v>
      </c>
      <c r="H331" s="10">
        <v>789</v>
      </c>
      <c r="I331" s="10">
        <f t="shared" si="30"/>
        <v>8873.5839270724</v>
      </c>
      <c r="J331" s="12">
        <f t="shared" si="31"/>
        <v>0.10567816224124</v>
      </c>
      <c r="K331" s="3" t="b">
        <f t="shared" si="32"/>
        <v>1</v>
      </c>
      <c r="L331" s="3" t="b">
        <f t="shared" si="33"/>
        <v>1</v>
      </c>
      <c r="M331" s="3" t="str">
        <f t="shared" si="34"/>
        <v>Eligible</v>
      </c>
      <c r="N331" s="3" t="str">
        <f t="shared" si="35"/>
        <v/>
      </c>
      <c r="O331" s="3" t="s">
        <v>85</v>
      </c>
    </row>
    <row r="332" customHeight="1" spans="1:15">
      <c r="A332" s="3" t="s">
        <v>739</v>
      </c>
      <c r="B332" s="3" t="s">
        <v>740</v>
      </c>
      <c r="C332" s="10">
        <v>99666</v>
      </c>
      <c r="D332" s="10">
        <v>0</v>
      </c>
      <c r="E332" s="10">
        <v>1920000</v>
      </c>
      <c r="F332" s="10">
        <v>60</v>
      </c>
      <c r="G332" s="16">
        <v>14.15</v>
      </c>
      <c r="H332" s="10">
        <v>847</v>
      </c>
      <c r="I332" s="10">
        <f t="shared" si="30"/>
        <v>44824.4919364301</v>
      </c>
      <c r="J332" s="12">
        <f t="shared" si="31"/>
        <v>0.449747074593443</v>
      </c>
      <c r="K332" s="3" t="b">
        <f t="shared" si="32"/>
        <v>1</v>
      </c>
      <c r="L332" s="3" t="b">
        <f t="shared" si="33"/>
        <v>1</v>
      </c>
      <c r="M332" s="3" t="str">
        <f t="shared" si="34"/>
        <v>Eligible</v>
      </c>
      <c r="N332" s="3" t="str">
        <f t="shared" si="35"/>
        <v/>
      </c>
      <c r="O332" s="3" t="s">
        <v>85</v>
      </c>
    </row>
    <row r="333" customHeight="1" spans="1:15">
      <c r="A333" s="3" t="s">
        <v>741</v>
      </c>
      <c r="B333" s="3" t="s">
        <v>742</v>
      </c>
      <c r="C333" s="10">
        <v>49756</v>
      </c>
      <c r="D333" s="10">
        <v>0</v>
      </c>
      <c r="E333" s="10">
        <v>1260000</v>
      </c>
      <c r="F333" s="10">
        <v>60</v>
      </c>
      <c r="G333" s="16">
        <v>13.68</v>
      </c>
      <c r="H333" s="10">
        <v>799</v>
      </c>
      <c r="I333" s="10">
        <f t="shared" si="30"/>
        <v>29109.3819662539</v>
      </c>
      <c r="J333" s="12">
        <f t="shared" si="31"/>
        <v>0.585042647444608</v>
      </c>
      <c r="K333" s="3" t="b">
        <f t="shared" si="32"/>
        <v>0</v>
      </c>
      <c r="L333" s="3" t="b">
        <f t="shared" si="33"/>
        <v>1</v>
      </c>
      <c r="M333" s="3" t="str">
        <f t="shared" si="34"/>
        <v>Not Eligible</v>
      </c>
      <c r="N333" s="3" t="str">
        <f t="shared" si="35"/>
        <v>FOIR exceeds 50%</v>
      </c>
      <c r="O333" s="3" t="s">
        <v>85</v>
      </c>
    </row>
    <row r="334" customHeight="1" spans="1:15">
      <c r="A334" s="3" t="s">
        <v>743</v>
      </c>
      <c r="B334" s="3" t="s">
        <v>744</v>
      </c>
      <c r="C334" s="10">
        <v>62092</v>
      </c>
      <c r="D334" s="10">
        <v>3070</v>
      </c>
      <c r="E334" s="10">
        <v>3800000</v>
      </c>
      <c r="F334" s="10">
        <v>240</v>
      </c>
      <c r="G334" s="16">
        <v>8.68</v>
      </c>
      <c r="H334" s="10">
        <v>753</v>
      </c>
      <c r="I334" s="10">
        <f t="shared" si="30"/>
        <v>33411.4713004847</v>
      </c>
      <c r="J334" s="12">
        <f t="shared" si="31"/>
        <v>0.587538995369528</v>
      </c>
      <c r="K334" s="3" t="b">
        <f t="shared" si="32"/>
        <v>0</v>
      </c>
      <c r="L334" s="3" t="b">
        <f t="shared" si="33"/>
        <v>1</v>
      </c>
      <c r="M334" s="3" t="str">
        <f t="shared" si="34"/>
        <v>Not Eligible</v>
      </c>
      <c r="N334" s="3" t="str">
        <f t="shared" si="35"/>
        <v>FOIR exceeds 50%</v>
      </c>
      <c r="O334" s="3" t="s">
        <v>85</v>
      </c>
    </row>
    <row r="335" customHeight="1" spans="1:15">
      <c r="A335" s="3" t="s">
        <v>745</v>
      </c>
      <c r="B335" s="3" t="s">
        <v>746</v>
      </c>
      <c r="C335" s="10">
        <v>47135</v>
      </c>
      <c r="D335" s="10">
        <v>0</v>
      </c>
      <c r="E335" s="10">
        <v>410000</v>
      </c>
      <c r="F335" s="10">
        <v>60</v>
      </c>
      <c r="G335" s="16">
        <v>10.59</v>
      </c>
      <c r="H335" s="10">
        <v>686</v>
      </c>
      <c r="I335" s="10">
        <f t="shared" si="30"/>
        <v>8830.78975248458</v>
      </c>
      <c r="J335" s="12">
        <f t="shared" si="31"/>
        <v>0.187351007796427</v>
      </c>
      <c r="K335" s="3" t="b">
        <f t="shared" si="32"/>
        <v>1</v>
      </c>
      <c r="L335" s="3" t="b">
        <f t="shared" si="33"/>
        <v>0</v>
      </c>
      <c r="M335" s="3" t="str">
        <f t="shared" si="34"/>
        <v>Not Eligible</v>
      </c>
      <c r="N335" s="3" t="str">
        <f t="shared" si="35"/>
        <v>Credit score below 700</v>
      </c>
      <c r="O335" s="3" t="s">
        <v>85</v>
      </c>
    </row>
    <row r="336" customHeight="1" spans="1:15">
      <c r="A336" s="3" t="s">
        <v>747</v>
      </c>
      <c r="B336" s="3" t="s">
        <v>748</v>
      </c>
      <c r="C336" s="10">
        <v>23807</v>
      </c>
      <c r="D336" s="10">
        <v>7358</v>
      </c>
      <c r="E336" s="10">
        <v>1190000</v>
      </c>
      <c r="F336" s="10">
        <v>84</v>
      </c>
      <c r="G336" s="16">
        <v>11.13</v>
      </c>
      <c r="H336" s="10">
        <v>643</v>
      </c>
      <c r="I336" s="10">
        <f t="shared" si="30"/>
        <v>20457.1302965524</v>
      </c>
      <c r="J336" s="12">
        <f t="shared" si="31"/>
        <v>1.16835931854297</v>
      </c>
      <c r="K336" s="3" t="b">
        <f t="shared" si="32"/>
        <v>0</v>
      </c>
      <c r="L336" s="3" t="b">
        <f t="shared" si="33"/>
        <v>0</v>
      </c>
      <c r="M336" s="3" t="str">
        <f t="shared" si="34"/>
        <v>Not Eligible</v>
      </c>
      <c r="N336" s="3" t="str">
        <f t="shared" si="35"/>
        <v>FOIR exceeds 50% and credit score below 700</v>
      </c>
      <c r="O336" s="3" t="s">
        <v>91</v>
      </c>
    </row>
    <row r="337" customHeight="1" spans="1:15">
      <c r="A337" s="3" t="s">
        <v>749</v>
      </c>
      <c r="B337" s="3" t="s">
        <v>440</v>
      </c>
      <c r="C337" s="10">
        <v>28934</v>
      </c>
      <c r="D337" s="10">
        <v>4071</v>
      </c>
      <c r="E337" s="10">
        <v>180000</v>
      </c>
      <c r="F337" s="10">
        <v>36</v>
      </c>
      <c r="G337" s="16">
        <v>13.97</v>
      </c>
      <c r="H337" s="10">
        <v>772</v>
      </c>
      <c r="I337" s="10">
        <f t="shared" si="30"/>
        <v>6149.35095220671</v>
      </c>
      <c r="J337" s="12">
        <f t="shared" si="31"/>
        <v>0.353229797200757</v>
      </c>
      <c r="K337" s="3" t="b">
        <f t="shared" si="32"/>
        <v>1</v>
      </c>
      <c r="L337" s="3" t="b">
        <f t="shared" si="33"/>
        <v>1</v>
      </c>
      <c r="M337" s="3" t="str">
        <f t="shared" si="34"/>
        <v>Eligible</v>
      </c>
      <c r="N337" s="3" t="str">
        <f t="shared" si="35"/>
        <v/>
      </c>
      <c r="O337" s="3" t="s">
        <v>85</v>
      </c>
    </row>
    <row r="338" customHeight="1" spans="1:15">
      <c r="A338" s="3" t="s">
        <v>750</v>
      </c>
      <c r="B338" s="3" t="s">
        <v>751</v>
      </c>
      <c r="C338" s="10">
        <v>92842</v>
      </c>
      <c r="D338" s="10">
        <v>0</v>
      </c>
      <c r="E338" s="10">
        <v>540000</v>
      </c>
      <c r="F338" s="10">
        <v>60</v>
      </c>
      <c r="G338" s="16">
        <v>14.26</v>
      </c>
      <c r="H338" s="10">
        <v>630</v>
      </c>
      <c r="I338" s="10">
        <f t="shared" si="30"/>
        <v>12637.7626329344</v>
      </c>
      <c r="J338" s="12">
        <f t="shared" si="31"/>
        <v>0.136121180424101</v>
      </c>
      <c r="K338" s="3" t="b">
        <f t="shared" si="32"/>
        <v>1</v>
      </c>
      <c r="L338" s="3" t="b">
        <f t="shared" si="33"/>
        <v>0</v>
      </c>
      <c r="M338" s="3" t="str">
        <f t="shared" si="34"/>
        <v>Not Eligible</v>
      </c>
      <c r="N338" s="3" t="str">
        <f t="shared" si="35"/>
        <v>Credit score below 700</v>
      </c>
      <c r="O338" s="3" t="s">
        <v>85</v>
      </c>
    </row>
    <row r="339" customHeight="1" spans="1:15">
      <c r="A339" s="3" t="s">
        <v>752</v>
      </c>
      <c r="B339" s="3" t="s">
        <v>753</v>
      </c>
      <c r="C339" s="10">
        <v>91058</v>
      </c>
      <c r="D339" s="10">
        <v>0</v>
      </c>
      <c r="E339" s="10">
        <v>570000</v>
      </c>
      <c r="F339" s="10">
        <v>84</v>
      </c>
      <c r="G339" s="16">
        <v>11.48</v>
      </c>
      <c r="H339" s="10">
        <v>670</v>
      </c>
      <c r="I339" s="10">
        <f t="shared" si="30"/>
        <v>9904.23826185225</v>
      </c>
      <c r="J339" s="12">
        <f t="shared" si="31"/>
        <v>0.108768458145932</v>
      </c>
      <c r="K339" s="3" t="b">
        <f t="shared" si="32"/>
        <v>1</v>
      </c>
      <c r="L339" s="3" t="b">
        <f t="shared" si="33"/>
        <v>0</v>
      </c>
      <c r="M339" s="3" t="str">
        <f t="shared" si="34"/>
        <v>Not Eligible</v>
      </c>
      <c r="N339" s="3" t="str">
        <f t="shared" si="35"/>
        <v>Credit score below 700</v>
      </c>
      <c r="O339" s="3" t="s">
        <v>85</v>
      </c>
    </row>
    <row r="340" customHeight="1" spans="1:15">
      <c r="A340" s="3" t="s">
        <v>754</v>
      </c>
      <c r="B340" s="3" t="s">
        <v>755</v>
      </c>
      <c r="C340" s="10">
        <v>27589</v>
      </c>
      <c r="D340" s="10">
        <v>10264</v>
      </c>
      <c r="E340" s="10">
        <v>1260000</v>
      </c>
      <c r="F340" s="10">
        <v>84</v>
      </c>
      <c r="G340" s="16">
        <v>11.47</v>
      </c>
      <c r="H340" s="10">
        <v>788</v>
      </c>
      <c r="I340" s="10">
        <f t="shared" si="30"/>
        <v>21886.900356311</v>
      </c>
      <c r="J340" s="12">
        <f t="shared" si="31"/>
        <v>1.16535214601149</v>
      </c>
      <c r="K340" s="3" t="b">
        <f t="shared" si="32"/>
        <v>0</v>
      </c>
      <c r="L340" s="3" t="b">
        <f t="shared" si="33"/>
        <v>1</v>
      </c>
      <c r="M340" s="3" t="str">
        <f t="shared" si="34"/>
        <v>Not Eligible</v>
      </c>
      <c r="N340" s="3" t="str">
        <f t="shared" si="35"/>
        <v>FOIR exceeds 50%</v>
      </c>
      <c r="O340" s="3" t="s">
        <v>85</v>
      </c>
    </row>
    <row r="341" customHeight="1" spans="1:15">
      <c r="A341" s="3" t="s">
        <v>756</v>
      </c>
      <c r="B341" s="3" t="s">
        <v>757</v>
      </c>
      <c r="C341" s="10">
        <v>36966</v>
      </c>
      <c r="D341" s="10">
        <v>3723</v>
      </c>
      <c r="E341" s="10">
        <v>5140000</v>
      </c>
      <c r="F341" s="10">
        <v>240</v>
      </c>
      <c r="G341" s="16">
        <v>8.59</v>
      </c>
      <c r="H341" s="10">
        <v>603</v>
      </c>
      <c r="I341" s="10">
        <f t="shared" si="30"/>
        <v>44899.3325793716</v>
      </c>
      <c r="J341" s="12">
        <f t="shared" si="31"/>
        <v>1.31532577447848</v>
      </c>
      <c r="K341" s="3" t="b">
        <f t="shared" si="32"/>
        <v>0</v>
      </c>
      <c r="L341" s="3" t="b">
        <f t="shared" si="33"/>
        <v>0</v>
      </c>
      <c r="M341" s="3" t="str">
        <f t="shared" si="34"/>
        <v>Not Eligible</v>
      </c>
      <c r="N341" s="3" t="str">
        <f t="shared" si="35"/>
        <v>FOIR exceeds 50% and credit score below 700</v>
      </c>
      <c r="O341" s="3" t="s">
        <v>91</v>
      </c>
    </row>
    <row r="342" customHeight="1" spans="1:15">
      <c r="A342" s="3" t="s">
        <v>758</v>
      </c>
      <c r="B342" s="3" t="s">
        <v>672</v>
      </c>
      <c r="C342" s="10">
        <v>38388</v>
      </c>
      <c r="D342" s="10">
        <v>0</v>
      </c>
      <c r="E342" s="10">
        <v>110000</v>
      </c>
      <c r="F342" s="10">
        <v>36</v>
      </c>
      <c r="G342" s="16">
        <v>14.41</v>
      </c>
      <c r="H342" s="10">
        <v>667</v>
      </c>
      <c r="I342" s="10">
        <f t="shared" si="30"/>
        <v>3781.48108307566</v>
      </c>
      <c r="J342" s="12">
        <f t="shared" si="31"/>
        <v>0.0985068532634069</v>
      </c>
      <c r="K342" s="3" t="b">
        <f t="shared" si="32"/>
        <v>1</v>
      </c>
      <c r="L342" s="3" t="b">
        <f t="shared" si="33"/>
        <v>0</v>
      </c>
      <c r="M342" s="3" t="str">
        <f t="shared" si="34"/>
        <v>Not Eligible</v>
      </c>
      <c r="N342" s="3" t="str">
        <f t="shared" si="35"/>
        <v>Credit score below 700</v>
      </c>
      <c r="O342" s="3" t="s">
        <v>85</v>
      </c>
    </row>
    <row r="343" customHeight="1" spans="1:15">
      <c r="A343" s="3" t="s">
        <v>759</v>
      </c>
      <c r="B343" s="3" t="s">
        <v>102</v>
      </c>
      <c r="C343" s="10">
        <v>118100</v>
      </c>
      <c r="D343" s="10">
        <v>0</v>
      </c>
      <c r="E343" s="10">
        <v>240000</v>
      </c>
      <c r="F343" s="10">
        <v>60</v>
      </c>
      <c r="G343" s="16">
        <v>10.42</v>
      </c>
      <c r="H343" s="10">
        <v>628</v>
      </c>
      <c r="I343" s="10">
        <f t="shared" si="30"/>
        <v>5149.02991413007</v>
      </c>
      <c r="J343" s="12">
        <f t="shared" si="31"/>
        <v>0.0435988985108389</v>
      </c>
      <c r="K343" s="3" t="b">
        <f t="shared" si="32"/>
        <v>1</v>
      </c>
      <c r="L343" s="3" t="b">
        <f t="shared" si="33"/>
        <v>0</v>
      </c>
      <c r="M343" s="3" t="str">
        <f t="shared" si="34"/>
        <v>Not Eligible</v>
      </c>
      <c r="N343" s="3" t="str">
        <f t="shared" si="35"/>
        <v>Credit score below 700</v>
      </c>
      <c r="O343" s="3" t="s">
        <v>85</v>
      </c>
    </row>
    <row r="344" customHeight="1" spans="1:15">
      <c r="A344" s="3" t="s">
        <v>760</v>
      </c>
      <c r="B344" s="3" t="s">
        <v>761</v>
      </c>
      <c r="C344" s="10">
        <v>133387</v>
      </c>
      <c r="D344" s="10">
        <v>40792</v>
      </c>
      <c r="E344" s="10">
        <v>740000</v>
      </c>
      <c r="F344" s="10">
        <v>60</v>
      </c>
      <c r="G344" s="16">
        <v>9.25</v>
      </c>
      <c r="H344" s="10">
        <v>736</v>
      </c>
      <c r="I344" s="10">
        <f t="shared" si="30"/>
        <v>15451.1247381031</v>
      </c>
      <c r="J344" s="12">
        <f t="shared" si="31"/>
        <v>0.421653719913508</v>
      </c>
      <c r="K344" s="3" t="b">
        <f t="shared" si="32"/>
        <v>1</v>
      </c>
      <c r="L344" s="3" t="b">
        <f t="shared" si="33"/>
        <v>1</v>
      </c>
      <c r="M344" s="3" t="str">
        <f t="shared" si="34"/>
        <v>Eligible</v>
      </c>
      <c r="N344" s="3" t="str">
        <f t="shared" si="35"/>
        <v/>
      </c>
      <c r="O344" s="3" t="s">
        <v>85</v>
      </c>
    </row>
    <row r="345" customHeight="1" spans="1:15">
      <c r="A345" s="3" t="s">
        <v>762</v>
      </c>
      <c r="B345" s="3" t="s">
        <v>763</v>
      </c>
      <c r="C345" s="10">
        <v>45555</v>
      </c>
      <c r="D345" s="10">
        <v>5998</v>
      </c>
      <c r="E345" s="10">
        <v>420000</v>
      </c>
      <c r="F345" s="10">
        <v>36</v>
      </c>
      <c r="G345" s="16">
        <v>13.54</v>
      </c>
      <c r="H345" s="10">
        <v>774</v>
      </c>
      <c r="I345" s="10">
        <f t="shared" si="30"/>
        <v>14260.947828974</v>
      </c>
      <c r="J345" s="12">
        <f t="shared" si="31"/>
        <v>0.444714034221798</v>
      </c>
      <c r="K345" s="3" t="b">
        <f t="shared" si="32"/>
        <v>1</v>
      </c>
      <c r="L345" s="3" t="b">
        <f t="shared" si="33"/>
        <v>1</v>
      </c>
      <c r="M345" s="3" t="str">
        <f t="shared" si="34"/>
        <v>Eligible</v>
      </c>
      <c r="N345" s="3" t="str">
        <f t="shared" si="35"/>
        <v/>
      </c>
      <c r="O345" s="3" t="s">
        <v>85</v>
      </c>
    </row>
    <row r="346" customHeight="1" spans="1:15">
      <c r="A346" s="3" t="s">
        <v>764</v>
      </c>
      <c r="B346" s="3" t="s">
        <v>765</v>
      </c>
      <c r="C346" s="10">
        <v>93803</v>
      </c>
      <c r="D346" s="10">
        <v>16418</v>
      </c>
      <c r="E346" s="10">
        <v>260000</v>
      </c>
      <c r="F346" s="10">
        <v>48</v>
      </c>
      <c r="G346" s="16">
        <v>11.41</v>
      </c>
      <c r="H346" s="10">
        <v>705</v>
      </c>
      <c r="I346" s="10">
        <f t="shared" si="30"/>
        <v>6771.72141607762</v>
      </c>
      <c r="J346" s="12">
        <f t="shared" si="31"/>
        <v>0.247217268275829</v>
      </c>
      <c r="K346" s="3" t="b">
        <f t="shared" si="32"/>
        <v>1</v>
      </c>
      <c r="L346" s="3" t="b">
        <f t="shared" si="33"/>
        <v>1</v>
      </c>
      <c r="M346" s="3" t="str">
        <f t="shared" si="34"/>
        <v>Eligible</v>
      </c>
      <c r="N346" s="3" t="str">
        <f t="shared" si="35"/>
        <v/>
      </c>
      <c r="O346" s="3" t="s">
        <v>85</v>
      </c>
    </row>
    <row r="347" customHeight="1" spans="1:15">
      <c r="A347" s="3" t="s">
        <v>766</v>
      </c>
      <c r="B347" s="3" t="s">
        <v>767</v>
      </c>
      <c r="C347" s="10">
        <v>64433</v>
      </c>
      <c r="D347" s="10">
        <v>0</v>
      </c>
      <c r="E347" s="10">
        <v>500000</v>
      </c>
      <c r="F347" s="10">
        <v>60</v>
      </c>
      <c r="G347" s="16">
        <v>9.13</v>
      </c>
      <c r="H347" s="10">
        <v>794</v>
      </c>
      <c r="I347" s="10">
        <f t="shared" si="30"/>
        <v>10410.7525876065</v>
      </c>
      <c r="J347" s="12">
        <f t="shared" si="31"/>
        <v>0.161574854307676</v>
      </c>
      <c r="K347" s="3" t="b">
        <f t="shared" si="32"/>
        <v>1</v>
      </c>
      <c r="L347" s="3" t="b">
        <f t="shared" si="33"/>
        <v>1</v>
      </c>
      <c r="M347" s="3" t="str">
        <f t="shared" si="34"/>
        <v>Eligible</v>
      </c>
      <c r="N347" s="3" t="str">
        <f t="shared" si="35"/>
        <v/>
      </c>
      <c r="O347" s="3" t="s">
        <v>85</v>
      </c>
    </row>
    <row r="348" customHeight="1" spans="1:15">
      <c r="A348" s="3" t="s">
        <v>768</v>
      </c>
      <c r="B348" s="3" t="s">
        <v>386</v>
      </c>
      <c r="C348" s="10">
        <v>70401</v>
      </c>
      <c r="D348" s="10">
        <v>0</v>
      </c>
      <c r="E348" s="10">
        <v>500000</v>
      </c>
      <c r="F348" s="10">
        <v>60</v>
      </c>
      <c r="G348" s="16">
        <v>9.03</v>
      </c>
      <c r="H348" s="10">
        <v>740</v>
      </c>
      <c r="I348" s="10">
        <f t="shared" si="30"/>
        <v>10386.4591006693</v>
      </c>
      <c r="J348" s="12">
        <f t="shared" si="31"/>
        <v>0.147532834770376</v>
      </c>
      <c r="K348" s="3" t="b">
        <f t="shared" si="32"/>
        <v>1</v>
      </c>
      <c r="L348" s="3" t="b">
        <f t="shared" si="33"/>
        <v>1</v>
      </c>
      <c r="M348" s="3" t="str">
        <f t="shared" si="34"/>
        <v>Eligible</v>
      </c>
      <c r="N348" s="3" t="str">
        <f t="shared" si="35"/>
        <v/>
      </c>
      <c r="O348" s="3" t="s">
        <v>85</v>
      </c>
    </row>
    <row r="349" customHeight="1" spans="1:15">
      <c r="A349" s="3" t="s">
        <v>769</v>
      </c>
      <c r="B349" s="3" t="s">
        <v>243</v>
      </c>
      <c r="C349" s="10">
        <v>53967</v>
      </c>
      <c r="D349" s="10">
        <v>0</v>
      </c>
      <c r="E349" s="10">
        <v>780000</v>
      </c>
      <c r="F349" s="10">
        <v>60</v>
      </c>
      <c r="G349" s="16">
        <v>9.28</v>
      </c>
      <c r="H349" s="10">
        <v>727</v>
      </c>
      <c r="I349" s="10">
        <f t="shared" si="30"/>
        <v>16297.7191223717</v>
      </c>
      <c r="J349" s="12">
        <f t="shared" si="31"/>
        <v>0.301994165367201</v>
      </c>
      <c r="K349" s="3" t="b">
        <f t="shared" si="32"/>
        <v>1</v>
      </c>
      <c r="L349" s="3" t="b">
        <f t="shared" si="33"/>
        <v>1</v>
      </c>
      <c r="M349" s="3" t="str">
        <f t="shared" si="34"/>
        <v>Eligible</v>
      </c>
      <c r="N349" s="3" t="str">
        <f t="shared" si="35"/>
        <v/>
      </c>
      <c r="O349" s="3" t="s">
        <v>85</v>
      </c>
    </row>
    <row r="350" customHeight="1" spans="1:15">
      <c r="A350" s="3" t="s">
        <v>770</v>
      </c>
      <c r="B350" s="3" t="s">
        <v>771</v>
      </c>
      <c r="C350" s="10">
        <v>61775</v>
      </c>
      <c r="D350" s="10">
        <v>25717</v>
      </c>
      <c r="E350" s="10">
        <v>1200000</v>
      </c>
      <c r="F350" s="10">
        <v>60</v>
      </c>
      <c r="G350" s="16">
        <v>14.84</v>
      </c>
      <c r="H350" s="10">
        <v>797</v>
      </c>
      <c r="I350" s="10">
        <f t="shared" si="30"/>
        <v>28447.2320306897</v>
      </c>
      <c r="J350" s="12">
        <f t="shared" si="31"/>
        <v>0.876798575972313</v>
      </c>
      <c r="K350" s="3" t="b">
        <f t="shared" si="32"/>
        <v>0</v>
      </c>
      <c r="L350" s="3" t="b">
        <f t="shared" si="33"/>
        <v>1</v>
      </c>
      <c r="M350" s="3" t="str">
        <f t="shared" si="34"/>
        <v>Not Eligible</v>
      </c>
      <c r="N350" s="3" t="str">
        <f t="shared" si="35"/>
        <v>FOIR exceeds 50%</v>
      </c>
      <c r="O350" s="3" t="s">
        <v>85</v>
      </c>
    </row>
    <row r="351" customHeight="1" spans="1:15">
      <c r="A351" s="3" t="s">
        <v>772</v>
      </c>
      <c r="B351" s="3" t="s">
        <v>668</v>
      </c>
      <c r="C351" s="10">
        <v>60873</v>
      </c>
      <c r="D351" s="10">
        <v>0</v>
      </c>
      <c r="E351" s="10">
        <v>3520000</v>
      </c>
      <c r="F351" s="10">
        <v>240</v>
      </c>
      <c r="G351" s="16">
        <v>9.38</v>
      </c>
      <c r="H351" s="10">
        <v>802</v>
      </c>
      <c r="I351" s="10">
        <f t="shared" si="30"/>
        <v>32535.6776763335</v>
      </c>
      <c r="J351" s="12">
        <f t="shared" si="31"/>
        <v>0.534484544483326</v>
      </c>
      <c r="K351" s="3" t="b">
        <f t="shared" si="32"/>
        <v>0</v>
      </c>
      <c r="L351" s="3" t="b">
        <f t="shared" si="33"/>
        <v>1</v>
      </c>
      <c r="M351" s="3" t="str">
        <f t="shared" si="34"/>
        <v>Not Eligible</v>
      </c>
      <c r="N351" s="3" t="str">
        <f t="shared" si="35"/>
        <v>FOIR exceeds 50%</v>
      </c>
      <c r="O351" s="3" t="s">
        <v>85</v>
      </c>
    </row>
    <row r="352" customHeight="1" spans="1:15">
      <c r="A352" s="3" t="s">
        <v>773</v>
      </c>
      <c r="B352" s="3" t="s">
        <v>774</v>
      </c>
      <c r="C352" s="10">
        <v>41784</v>
      </c>
      <c r="D352" s="10">
        <v>0</v>
      </c>
      <c r="E352" s="10">
        <v>1560000</v>
      </c>
      <c r="F352" s="10">
        <v>60</v>
      </c>
      <c r="G352" s="16">
        <v>14.83</v>
      </c>
      <c r="H352" s="10">
        <v>747</v>
      </c>
      <c r="I352" s="10">
        <f t="shared" si="30"/>
        <v>36973.2296170127</v>
      </c>
      <c r="J352" s="12">
        <f t="shared" si="31"/>
        <v>0.884865728915679</v>
      </c>
      <c r="K352" s="3" t="b">
        <f t="shared" si="32"/>
        <v>0</v>
      </c>
      <c r="L352" s="3" t="b">
        <f t="shared" si="33"/>
        <v>1</v>
      </c>
      <c r="M352" s="3" t="str">
        <f t="shared" si="34"/>
        <v>Not Eligible</v>
      </c>
      <c r="N352" s="3" t="str">
        <f t="shared" si="35"/>
        <v>FOIR exceeds 50%</v>
      </c>
      <c r="O352" s="3" t="s">
        <v>91</v>
      </c>
    </row>
    <row r="353" customHeight="1" spans="1:15">
      <c r="A353" s="3" t="s">
        <v>775</v>
      </c>
      <c r="B353" s="3" t="s">
        <v>776</v>
      </c>
      <c r="C353" s="10">
        <v>119938</v>
      </c>
      <c r="D353" s="10">
        <v>0</v>
      </c>
      <c r="E353" s="10">
        <v>280000</v>
      </c>
      <c r="F353" s="10">
        <v>48</v>
      </c>
      <c r="G353" s="16">
        <v>11.24</v>
      </c>
      <c r="H353" s="10">
        <v>739</v>
      </c>
      <c r="I353" s="10">
        <f t="shared" si="30"/>
        <v>7269.42399878348</v>
      </c>
      <c r="J353" s="12">
        <f t="shared" si="31"/>
        <v>0.0606098484115416</v>
      </c>
      <c r="K353" s="3" t="b">
        <f t="shared" si="32"/>
        <v>1</v>
      </c>
      <c r="L353" s="3" t="b">
        <f t="shared" si="33"/>
        <v>1</v>
      </c>
      <c r="M353" s="3" t="str">
        <f t="shared" si="34"/>
        <v>Eligible</v>
      </c>
      <c r="N353" s="3" t="str">
        <f t="shared" si="35"/>
        <v/>
      </c>
      <c r="O353" s="3" t="s">
        <v>85</v>
      </c>
    </row>
    <row r="354" customHeight="1" spans="1:15">
      <c r="A354" s="3" t="s">
        <v>777</v>
      </c>
      <c r="B354" s="3" t="s">
        <v>286</v>
      </c>
      <c r="C354" s="10">
        <v>33440</v>
      </c>
      <c r="D354" s="10">
        <v>0</v>
      </c>
      <c r="E354" s="10">
        <v>720000</v>
      </c>
      <c r="F354" s="10">
        <v>48</v>
      </c>
      <c r="G354" s="16">
        <v>11.27</v>
      </c>
      <c r="H354" s="10">
        <v>692</v>
      </c>
      <c r="I354" s="10">
        <f t="shared" si="30"/>
        <v>18703.3237616375</v>
      </c>
      <c r="J354" s="12">
        <f t="shared" si="31"/>
        <v>0.559309921101601</v>
      </c>
      <c r="K354" s="3" t="b">
        <f t="shared" si="32"/>
        <v>0</v>
      </c>
      <c r="L354" s="3" t="b">
        <f t="shared" si="33"/>
        <v>0</v>
      </c>
      <c r="M354" s="3" t="str">
        <f t="shared" si="34"/>
        <v>Not Eligible</v>
      </c>
      <c r="N354" s="3" t="str">
        <f t="shared" si="35"/>
        <v>FOIR exceeds 50% and credit score below 700</v>
      </c>
      <c r="O354" s="3" t="s">
        <v>85</v>
      </c>
    </row>
    <row r="355" customHeight="1" spans="1:15">
      <c r="A355" s="3" t="s">
        <v>778</v>
      </c>
      <c r="B355" s="3" t="s">
        <v>779</v>
      </c>
      <c r="C355" s="10">
        <v>260817</v>
      </c>
      <c r="D355" s="10">
        <v>0</v>
      </c>
      <c r="E355" s="10">
        <v>260000</v>
      </c>
      <c r="F355" s="10">
        <v>48</v>
      </c>
      <c r="G355" s="16">
        <v>10.68</v>
      </c>
      <c r="H355" s="10">
        <v>740</v>
      </c>
      <c r="I355" s="10">
        <f t="shared" si="30"/>
        <v>6679.50301717075</v>
      </c>
      <c r="J355" s="12">
        <f t="shared" si="31"/>
        <v>0.0256099219650972</v>
      </c>
      <c r="K355" s="3" t="b">
        <f t="shared" si="32"/>
        <v>1</v>
      </c>
      <c r="L355" s="3" t="b">
        <f t="shared" si="33"/>
        <v>1</v>
      </c>
      <c r="M355" s="3" t="str">
        <f t="shared" si="34"/>
        <v>Eligible</v>
      </c>
      <c r="N355" s="3" t="str">
        <f t="shared" si="35"/>
        <v/>
      </c>
      <c r="O355" s="3" t="s">
        <v>91</v>
      </c>
    </row>
    <row r="356" customHeight="1" spans="1:15">
      <c r="A356" s="3" t="s">
        <v>780</v>
      </c>
      <c r="B356" s="3" t="s">
        <v>781</v>
      </c>
      <c r="C356" s="10">
        <v>109783</v>
      </c>
      <c r="D356" s="10">
        <v>6469</v>
      </c>
      <c r="E356" s="10">
        <v>430000</v>
      </c>
      <c r="F356" s="10">
        <v>36</v>
      </c>
      <c r="G356" s="16">
        <v>14.14</v>
      </c>
      <c r="H356" s="10">
        <v>720</v>
      </c>
      <c r="I356" s="10">
        <f t="shared" si="30"/>
        <v>14725.6363197836</v>
      </c>
      <c r="J356" s="12">
        <f t="shared" si="31"/>
        <v>0.193059365473558</v>
      </c>
      <c r="K356" s="3" t="b">
        <f t="shared" si="32"/>
        <v>1</v>
      </c>
      <c r="L356" s="3" t="b">
        <f t="shared" si="33"/>
        <v>1</v>
      </c>
      <c r="M356" s="3" t="str">
        <f t="shared" si="34"/>
        <v>Eligible</v>
      </c>
      <c r="N356" s="3" t="str">
        <f t="shared" si="35"/>
        <v/>
      </c>
      <c r="O356" s="3" t="s">
        <v>85</v>
      </c>
    </row>
    <row r="357" customHeight="1" spans="1:15">
      <c r="A357" s="3" t="s">
        <v>782</v>
      </c>
      <c r="B357" s="3" t="s">
        <v>783</v>
      </c>
      <c r="C357" s="10">
        <v>45908</v>
      </c>
      <c r="D357" s="10">
        <v>0</v>
      </c>
      <c r="E357" s="10">
        <v>1200000</v>
      </c>
      <c r="F357" s="10">
        <v>84</v>
      </c>
      <c r="G357" s="16">
        <v>10.59</v>
      </c>
      <c r="H357" s="10">
        <v>770</v>
      </c>
      <c r="I357" s="10">
        <f t="shared" si="30"/>
        <v>20289.1476962795</v>
      </c>
      <c r="J357" s="12">
        <f t="shared" si="31"/>
        <v>0.441952332845681</v>
      </c>
      <c r="K357" s="3" t="b">
        <f t="shared" si="32"/>
        <v>1</v>
      </c>
      <c r="L357" s="3" t="b">
        <f t="shared" si="33"/>
        <v>1</v>
      </c>
      <c r="M357" s="3" t="str">
        <f t="shared" si="34"/>
        <v>Eligible</v>
      </c>
      <c r="N357" s="3" t="str">
        <f t="shared" si="35"/>
        <v/>
      </c>
      <c r="O357" s="3" t="s">
        <v>85</v>
      </c>
    </row>
    <row r="358" customHeight="1" spans="1:15">
      <c r="A358" s="3" t="s">
        <v>784</v>
      </c>
      <c r="B358" s="3" t="s">
        <v>785</v>
      </c>
      <c r="C358" s="10">
        <v>29471</v>
      </c>
      <c r="D358" s="10">
        <v>49</v>
      </c>
      <c r="E358" s="10">
        <v>400000</v>
      </c>
      <c r="F358" s="10">
        <v>48</v>
      </c>
      <c r="G358" s="16">
        <v>11.35</v>
      </c>
      <c r="H358" s="10">
        <v>613</v>
      </c>
      <c r="I358" s="10">
        <f t="shared" si="30"/>
        <v>10406.3288582504</v>
      </c>
      <c r="J358" s="12">
        <f t="shared" si="31"/>
        <v>0.35476668108481</v>
      </c>
      <c r="K358" s="3" t="b">
        <f t="shared" si="32"/>
        <v>1</v>
      </c>
      <c r="L358" s="3" t="b">
        <f t="shared" si="33"/>
        <v>0</v>
      </c>
      <c r="M358" s="3" t="str">
        <f t="shared" si="34"/>
        <v>Not Eligible</v>
      </c>
      <c r="N358" s="3" t="str">
        <f t="shared" si="35"/>
        <v>Credit score below 700</v>
      </c>
      <c r="O358" s="3" t="s">
        <v>85</v>
      </c>
    </row>
    <row r="359" customHeight="1" spans="1:15">
      <c r="A359" s="3" t="s">
        <v>786</v>
      </c>
      <c r="B359" s="3" t="s">
        <v>787</v>
      </c>
      <c r="C359" s="10">
        <v>190823</v>
      </c>
      <c r="D359" s="10">
        <v>0</v>
      </c>
      <c r="E359" s="10">
        <v>4530000</v>
      </c>
      <c r="F359" s="10">
        <v>240</v>
      </c>
      <c r="G359" s="16">
        <v>9.29</v>
      </c>
      <c r="H359" s="10">
        <v>755</v>
      </c>
      <c r="I359" s="10">
        <f t="shared" si="30"/>
        <v>41606.2782750455</v>
      </c>
      <c r="J359" s="12">
        <f t="shared" si="31"/>
        <v>0.218035971948064</v>
      </c>
      <c r="K359" s="3" t="b">
        <f t="shared" si="32"/>
        <v>1</v>
      </c>
      <c r="L359" s="3" t="b">
        <f t="shared" si="33"/>
        <v>1</v>
      </c>
      <c r="M359" s="3" t="str">
        <f t="shared" si="34"/>
        <v>Eligible</v>
      </c>
      <c r="N359" s="3" t="str">
        <f t="shared" si="35"/>
        <v/>
      </c>
      <c r="O359" s="3" t="s">
        <v>85</v>
      </c>
    </row>
    <row r="360" customHeight="1" spans="1:15">
      <c r="A360" s="3" t="s">
        <v>788</v>
      </c>
      <c r="B360" s="3" t="s">
        <v>789</v>
      </c>
      <c r="C360" s="10">
        <v>49708</v>
      </c>
      <c r="D360" s="10">
        <v>12273</v>
      </c>
      <c r="E360" s="10">
        <v>1020000</v>
      </c>
      <c r="F360" s="10">
        <v>60</v>
      </c>
      <c r="G360" s="16">
        <v>14.23</v>
      </c>
      <c r="H360" s="10">
        <v>711</v>
      </c>
      <c r="I360" s="10">
        <f t="shared" si="30"/>
        <v>23855.4165435232</v>
      </c>
      <c r="J360" s="12">
        <f t="shared" si="31"/>
        <v>0.726812918313415</v>
      </c>
      <c r="K360" s="3" t="b">
        <f t="shared" si="32"/>
        <v>0</v>
      </c>
      <c r="L360" s="3" t="b">
        <f t="shared" si="33"/>
        <v>1</v>
      </c>
      <c r="M360" s="3" t="str">
        <f t="shared" si="34"/>
        <v>Not Eligible</v>
      </c>
      <c r="N360" s="3" t="str">
        <f t="shared" si="35"/>
        <v>FOIR exceeds 50%</v>
      </c>
      <c r="O360" s="3" t="s">
        <v>85</v>
      </c>
    </row>
    <row r="361" customHeight="1" spans="1:15">
      <c r="A361" s="3" t="s">
        <v>790</v>
      </c>
      <c r="B361" s="3" t="s">
        <v>258</v>
      </c>
      <c r="C361" s="10">
        <v>151694</v>
      </c>
      <c r="D361" s="10">
        <v>0</v>
      </c>
      <c r="E361" s="10">
        <v>1120000</v>
      </c>
      <c r="F361" s="10">
        <v>240</v>
      </c>
      <c r="G361" s="16">
        <v>8.76</v>
      </c>
      <c r="H361" s="10">
        <v>690</v>
      </c>
      <c r="I361" s="10">
        <f t="shared" si="30"/>
        <v>9904.70745341878</v>
      </c>
      <c r="J361" s="12">
        <f t="shared" si="31"/>
        <v>0.0652939961594973</v>
      </c>
      <c r="K361" s="3" t="b">
        <f t="shared" si="32"/>
        <v>1</v>
      </c>
      <c r="L361" s="3" t="b">
        <f t="shared" si="33"/>
        <v>0</v>
      </c>
      <c r="M361" s="3" t="str">
        <f t="shared" si="34"/>
        <v>Not Eligible</v>
      </c>
      <c r="N361" s="3" t="str">
        <f t="shared" si="35"/>
        <v>Credit score below 700</v>
      </c>
      <c r="O361" s="3" t="s">
        <v>85</v>
      </c>
    </row>
    <row r="362" customHeight="1" spans="1:15">
      <c r="A362" s="3" t="s">
        <v>791</v>
      </c>
      <c r="B362" s="3" t="s">
        <v>792</v>
      </c>
      <c r="C362" s="10">
        <v>140268</v>
      </c>
      <c r="D362" s="10">
        <v>0</v>
      </c>
      <c r="E362" s="10">
        <v>370000</v>
      </c>
      <c r="F362" s="10">
        <v>84</v>
      </c>
      <c r="G362" s="16">
        <v>11.46</v>
      </c>
      <c r="H362" s="10">
        <v>735</v>
      </c>
      <c r="I362" s="10">
        <f t="shared" si="30"/>
        <v>6425.14471123965</v>
      </c>
      <c r="J362" s="12">
        <f t="shared" si="31"/>
        <v>0.0458062046314174</v>
      </c>
      <c r="K362" s="3" t="b">
        <f t="shared" si="32"/>
        <v>1</v>
      </c>
      <c r="L362" s="3" t="b">
        <f t="shared" si="33"/>
        <v>1</v>
      </c>
      <c r="M362" s="3" t="str">
        <f t="shared" si="34"/>
        <v>Eligible</v>
      </c>
      <c r="N362" s="3" t="str">
        <f t="shared" si="35"/>
        <v/>
      </c>
      <c r="O362" s="3" t="s">
        <v>85</v>
      </c>
    </row>
    <row r="363" customHeight="1" spans="1:15">
      <c r="A363" s="3" t="s">
        <v>793</v>
      </c>
      <c r="B363" s="3" t="s">
        <v>794</v>
      </c>
      <c r="C363" s="10">
        <v>277868</v>
      </c>
      <c r="D363" s="10">
        <v>68693</v>
      </c>
      <c r="E363" s="10">
        <v>460000</v>
      </c>
      <c r="F363" s="10">
        <v>36</v>
      </c>
      <c r="G363" s="16">
        <v>14.27</v>
      </c>
      <c r="H363" s="10">
        <v>719</v>
      </c>
      <c r="I363" s="10">
        <f t="shared" si="30"/>
        <v>15782.0998759562</v>
      </c>
      <c r="J363" s="12">
        <f t="shared" si="31"/>
        <v>0.304011616580377</v>
      </c>
      <c r="K363" s="3" t="b">
        <f t="shared" si="32"/>
        <v>1</v>
      </c>
      <c r="L363" s="3" t="b">
        <f t="shared" si="33"/>
        <v>1</v>
      </c>
      <c r="M363" s="3" t="str">
        <f t="shared" si="34"/>
        <v>Eligible</v>
      </c>
      <c r="N363" s="3" t="str">
        <f t="shared" si="35"/>
        <v/>
      </c>
      <c r="O363" s="3" t="s">
        <v>85</v>
      </c>
    </row>
    <row r="364" customHeight="1" spans="1:15">
      <c r="A364" s="3" t="s">
        <v>795</v>
      </c>
      <c r="B364" s="3" t="s">
        <v>796</v>
      </c>
      <c r="C364" s="10">
        <v>80561</v>
      </c>
      <c r="D364" s="10">
        <v>4212</v>
      </c>
      <c r="E364" s="10">
        <v>130000</v>
      </c>
      <c r="F364" s="10">
        <v>36</v>
      </c>
      <c r="G364" s="16">
        <v>13.14</v>
      </c>
      <c r="H364" s="10">
        <v>715</v>
      </c>
      <c r="I364" s="10">
        <f t="shared" si="30"/>
        <v>4388.9851556931</v>
      </c>
      <c r="J364" s="12">
        <f t="shared" si="31"/>
        <v>0.106763634459516</v>
      </c>
      <c r="K364" s="3" t="b">
        <f t="shared" si="32"/>
        <v>1</v>
      </c>
      <c r="L364" s="3" t="b">
        <f t="shared" si="33"/>
        <v>1</v>
      </c>
      <c r="M364" s="3" t="str">
        <f t="shared" si="34"/>
        <v>Eligible</v>
      </c>
      <c r="N364" s="3" t="str">
        <f t="shared" si="35"/>
        <v/>
      </c>
      <c r="O364" s="3" t="s">
        <v>85</v>
      </c>
    </row>
    <row r="365" customHeight="1" spans="1:15">
      <c r="A365" s="3" t="s">
        <v>797</v>
      </c>
      <c r="B365" s="3" t="s">
        <v>798</v>
      </c>
      <c r="C365" s="10">
        <v>61113</v>
      </c>
      <c r="D365" s="10">
        <v>0</v>
      </c>
      <c r="E365" s="10">
        <v>510000</v>
      </c>
      <c r="F365" s="10">
        <v>48</v>
      </c>
      <c r="G365" s="16">
        <v>11.6</v>
      </c>
      <c r="H365" s="10">
        <v>693</v>
      </c>
      <c r="I365" s="10">
        <f t="shared" si="30"/>
        <v>13330.3122193237</v>
      </c>
      <c r="J365" s="12">
        <f t="shared" si="31"/>
        <v>0.218125639705523</v>
      </c>
      <c r="K365" s="3" t="b">
        <f t="shared" si="32"/>
        <v>1</v>
      </c>
      <c r="L365" s="3" t="b">
        <f t="shared" si="33"/>
        <v>0</v>
      </c>
      <c r="M365" s="3" t="str">
        <f t="shared" si="34"/>
        <v>Not Eligible</v>
      </c>
      <c r="N365" s="3" t="str">
        <f t="shared" si="35"/>
        <v>Credit score below 700</v>
      </c>
      <c r="O365" s="3" t="s">
        <v>85</v>
      </c>
    </row>
    <row r="366" customHeight="1" spans="1:15">
      <c r="A366" s="3" t="s">
        <v>799</v>
      </c>
      <c r="B366" s="3" t="s">
        <v>800</v>
      </c>
      <c r="C366" s="10">
        <v>48436</v>
      </c>
      <c r="D366" s="10">
        <v>20503</v>
      </c>
      <c r="E366" s="10">
        <v>400000</v>
      </c>
      <c r="F366" s="10">
        <v>60</v>
      </c>
      <c r="G366" s="16">
        <v>9.12</v>
      </c>
      <c r="H366" s="10">
        <v>738</v>
      </c>
      <c r="I366" s="10">
        <f t="shared" si="30"/>
        <v>8326.65738059019</v>
      </c>
      <c r="J366" s="12">
        <f t="shared" si="31"/>
        <v>0.595211358918783</v>
      </c>
      <c r="K366" s="3" t="b">
        <f t="shared" si="32"/>
        <v>0</v>
      </c>
      <c r="L366" s="3" t="b">
        <f t="shared" si="33"/>
        <v>1</v>
      </c>
      <c r="M366" s="3" t="str">
        <f t="shared" si="34"/>
        <v>Not Eligible</v>
      </c>
      <c r="N366" s="3" t="str">
        <f t="shared" si="35"/>
        <v>FOIR exceeds 50%</v>
      </c>
      <c r="O366" s="3" t="s">
        <v>85</v>
      </c>
    </row>
    <row r="367" customHeight="1" spans="1:15">
      <c r="A367" s="3" t="s">
        <v>801</v>
      </c>
      <c r="B367" s="3" t="s">
        <v>478</v>
      </c>
      <c r="C367" s="10">
        <v>19412</v>
      </c>
      <c r="D367" s="10">
        <v>3276</v>
      </c>
      <c r="E367" s="10">
        <v>690000</v>
      </c>
      <c r="F367" s="10">
        <v>60</v>
      </c>
      <c r="G367" s="16">
        <v>10.25</v>
      </c>
      <c r="H367" s="10">
        <v>601</v>
      </c>
      <c r="I367" s="10">
        <f t="shared" si="30"/>
        <v>14745.4820458602</v>
      </c>
      <c r="J367" s="12">
        <f t="shared" si="31"/>
        <v>0.928368125173099</v>
      </c>
      <c r="K367" s="3" t="b">
        <f t="shared" si="32"/>
        <v>0</v>
      </c>
      <c r="L367" s="3" t="b">
        <f t="shared" si="33"/>
        <v>0</v>
      </c>
      <c r="M367" s="3" t="str">
        <f t="shared" si="34"/>
        <v>Not Eligible</v>
      </c>
      <c r="N367" s="3" t="str">
        <f t="shared" si="35"/>
        <v>FOIR exceeds 50% and credit score below 700</v>
      </c>
      <c r="O367" s="3" t="s">
        <v>91</v>
      </c>
    </row>
    <row r="368" customHeight="1" spans="1:15">
      <c r="A368" s="3" t="s">
        <v>802</v>
      </c>
      <c r="B368" s="3" t="s">
        <v>803</v>
      </c>
      <c r="C368" s="10">
        <v>54423</v>
      </c>
      <c r="D368" s="10">
        <v>8586</v>
      </c>
      <c r="E368" s="10">
        <v>330000</v>
      </c>
      <c r="F368" s="10">
        <v>48</v>
      </c>
      <c r="G368" s="16">
        <v>11.55</v>
      </c>
      <c r="H368" s="10">
        <v>708</v>
      </c>
      <c r="I368" s="10">
        <f t="shared" si="30"/>
        <v>8617.43232956616</v>
      </c>
      <c r="J368" s="12">
        <f t="shared" si="31"/>
        <v>0.316105917159402</v>
      </c>
      <c r="K368" s="3" t="b">
        <f t="shared" si="32"/>
        <v>1</v>
      </c>
      <c r="L368" s="3" t="b">
        <f t="shared" si="33"/>
        <v>1</v>
      </c>
      <c r="M368" s="3" t="str">
        <f t="shared" si="34"/>
        <v>Eligible</v>
      </c>
      <c r="N368" s="3" t="str">
        <f t="shared" si="35"/>
        <v/>
      </c>
      <c r="O368" s="3" t="s">
        <v>91</v>
      </c>
    </row>
    <row r="369" customHeight="1" spans="1:15">
      <c r="A369" s="3" t="s">
        <v>804</v>
      </c>
      <c r="B369" s="3" t="s">
        <v>591</v>
      </c>
      <c r="C369" s="10">
        <v>45296</v>
      </c>
      <c r="D369" s="10">
        <v>0</v>
      </c>
      <c r="E369" s="10">
        <v>720000</v>
      </c>
      <c r="F369" s="10">
        <v>48</v>
      </c>
      <c r="G369" s="16">
        <v>11.25</v>
      </c>
      <c r="H369" s="10">
        <v>666</v>
      </c>
      <c r="I369" s="10">
        <f t="shared" si="30"/>
        <v>18696.3105796321</v>
      </c>
      <c r="J369" s="12">
        <f t="shared" si="31"/>
        <v>0.412758534520314</v>
      </c>
      <c r="K369" s="3" t="b">
        <f t="shared" si="32"/>
        <v>1</v>
      </c>
      <c r="L369" s="3" t="b">
        <f t="shared" si="33"/>
        <v>0</v>
      </c>
      <c r="M369" s="3" t="str">
        <f t="shared" si="34"/>
        <v>Not Eligible</v>
      </c>
      <c r="N369" s="3" t="str">
        <f t="shared" si="35"/>
        <v>Credit score below 700</v>
      </c>
      <c r="O369" s="3" t="s">
        <v>85</v>
      </c>
    </row>
    <row r="370" customHeight="1" spans="1:15">
      <c r="A370" s="3" t="s">
        <v>805</v>
      </c>
      <c r="B370" s="3" t="s">
        <v>806</v>
      </c>
      <c r="C370" s="10">
        <v>92947</v>
      </c>
      <c r="D370" s="10">
        <v>0</v>
      </c>
      <c r="E370" s="10">
        <v>310000</v>
      </c>
      <c r="F370" s="10">
        <v>48</v>
      </c>
      <c r="G370" s="16">
        <v>10.91</v>
      </c>
      <c r="H370" s="10">
        <v>693</v>
      </c>
      <c r="I370" s="10">
        <f t="shared" si="30"/>
        <v>7998.56967452783</v>
      </c>
      <c r="J370" s="12">
        <f t="shared" si="31"/>
        <v>0.0860551677249167</v>
      </c>
      <c r="K370" s="3" t="b">
        <f t="shared" si="32"/>
        <v>1</v>
      </c>
      <c r="L370" s="3" t="b">
        <f t="shared" si="33"/>
        <v>0</v>
      </c>
      <c r="M370" s="3" t="str">
        <f t="shared" si="34"/>
        <v>Not Eligible</v>
      </c>
      <c r="N370" s="3" t="str">
        <f t="shared" si="35"/>
        <v>Credit score below 700</v>
      </c>
      <c r="O370" s="3" t="s">
        <v>85</v>
      </c>
    </row>
    <row r="371" customHeight="1" spans="1:15">
      <c r="A371" s="3" t="s">
        <v>807</v>
      </c>
      <c r="B371" s="3" t="s">
        <v>124</v>
      </c>
      <c r="C371" s="10">
        <v>63242</v>
      </c>
      <c r="D371" s="10">
        <v>0</v>
      </c>
      <c r="E371" s="10">
        <v>1540000</v>
      </c>
      <c r="F371" s="10">
        <v>60</v>
      </c>
      <c r="G371" s="16">
        <v>14.05</v>
      </c>
      <c r="H371" s="10">
        <v>735</v>
      </c>
      <c r="I371" s="10">
        <f t="shared" si="30"/>
        <v>35873.0384899283</v>
      </c>
      <c r="J371" s="12">
        <f t="shared" si="31"/>
        <v>0.567234408935965</v>
      </c>
      <c r="K371" s="3" t="b">
        <f t="shared" si="32"/>
        <v>0</v>
      </c>
      <c r="L371" s="3" t="b">
        <f t="shared" si="33"/>
        <v>1</v>
      </c>
      <c r="M371" s="3" t="str">
        <f t="shared" si="34"/>
        <v>Not Eligible</v>
      </c>
      <c r="N371" s="3" t="str">
        <f t="shared" si="35"/>
        <v>FOIR exceeds 50%</v>
      </c>
      <c r="O371" s="3" t="s">
        <v>85</v>
      </c>
    </row>
    <row r="372" customHeight="1" spans="1:15">
      <c r="A372" s="3" t="s">
        <v>808</v>
      </c>
      <c r="B372" s="3" t="s">
        <v>809</v>
      </c>
      <c r="C372" s="10">
        <v>32751</v>
      </c>
      <c r="D372" s="10">
        <v>1767</v>
      </c>
      <c r="E372" s="10">
        <v>390000</v>
      </c>
      <c r="F372" s="10">
        <v>48</v>
      </c>
      <c r="G372" s="16">
        <v>11.67</v>
      </c>
      <c r="H372" s="10">
        <v>684</v>
      </c>
      <c r="I372" s="10">
        <f t="shared" si="30"/>
        <v>10207.1188884777</v>
      </c>
      <c r="J372" s="12">
        <f t="shared" si="31"/>
        <v>0.365610787105056</v>
      </c>
      <c r="K372" s="3" t="b">
        <f t="shared" si="32"/>
        <v>1</v>
      </c>
      <c r="L372" s="3" t="b">
        <f t="shared" si="33"/>
        <v>0</v>
      </c>
      <c r="M372" s="3" t="str">
        <f t="shared" si="34"/>
        <v>Not Eligible</v>
      </c>
      <c r="N372" s="3" t="str">
        <f t="shared" si="35"/>
        <v>Credit score below 700</v>
      </c>
      <c r="O372" s="3" t="s">
        <v>85</v>
      </c>
    </row>
    <row r="373" customHeight="1" spans="1:15">
      <c r="A373" s="3" t="s">
        <v>810</v>
      </c>
      <c r="B373" s="3" t="s">
        <v>811</v>
      </c>
      <c r="C373" s="10">
        <v>41803</v>
      </c>
      <c r="D373" s="10">
        <v>6793</v>
      </c>
      <c r="E373" s="10">
        <v>330000</v>
      </c>
      <c r="F373" s="10">
        <v>36</v>
      </c>
      <c r="G373" s="16">
        <v>13.38</v>
      </c>
      <c r="H373" s="10">
        <v>722</v>
      </c>
      <c r="I373" s="10">
        <f t="shared" si="30"/>
        <v>11179.5007289763</v>
      </c>
      <c r="J373" s="12">
        <f t="shared" si="31"/>
        <v>0.429933275816959</v>
      </c>
      <c r="K373" s="3" t="b">
        <f t="shared" si="32"/>
        <v>1</v>
      </c>
      <c r="L373" s="3" t="b">
        <f t="shared" si="33"/>
        <v>1</v>
      </c>
      <c r="M373" s="3" t="str">
        <f t="shared" si="34"/>
        <v>Eligible</v>
      </c>
      <c r="N373" s="3" t="str">
        <f t="shared" si="35"/>
        <v/>
      </c>
      <c r="O373" s="3" t="s">
        <v>85</v>
      </c>
    </row>
    <row r="374" customHeight="1" spans="1:15">
      <c r="A374" s="3" t="s">
        <v>812</v>
      </c>
      <c r="B374" s="3" t="s">
        <v>813</v>
      </c>
      <c r="C374" s="10">
        <v>101258</v>
      </c>
      <c r="D374" s="10">
        <v>45079</v>
      </c>
      <c r="E374" s="10">
        <v>960000</v>
      </c>
      <c r="F374" s="10">
        <v>60</v>
      </c>
      <c r="G374" s="16">
        <v>14.54</v>
      </c>
      <c r="H374" s="10">
        <v>771</v>
      </c>
      <c r="I374" s="10">
        <f t="shared" si="30"/>
        <v>22607.1873785272</v>
      </c>
      <c r="J374" s="12">
        <f t="shared" si="31"/>
        <v>0.668452738336993</v>
      </c>
      <c r="K374" s="3" t="b">
        <f t="shared" si="32"/>
        <v>0</v>
      </c>
      <c r="L374" s="3" t="b">
        <f t="shared" si="33"/>
        <v>1</v>
      </c>
      <c r="M374" s="3" t="str">
        <f t="shared" si="34"/>
        <v>Not Eligible</v>
      </c>
      <c r="N374" s="3" t="str">
        <f t="shared" si="35"/>
        <v>FOIR exceeds 50%</v>
      </c>
      <c r="O374" s="3" t="s">
        <v>85</v>
      </c>
    </row>
    <row r="375" customHeight="1" spans="1:15">
      <c r="A375" s="3" t="s">
        <v>814</v>
      </c>
      <c r="B375" s="3" t="s">
        <v>815</v>
      </c>
      <c r="C375" s="10">
        <v>53994</v>
      </c>
      <c r="D375" s="10">
        <v>17236</v>
      </c>
      <c r="E375" s="10">
        <v>720000</v>
      </c>
      <c r="F375" s="10">
        <v>60</v>
      </c>
      <c r="G375" s="16">
        <v>9.65</v>
      </c>
      <c r="H375" s="10">
        <v>732</v>
      </c>
      <c r="I375" s="10">
        <f t="shared" si="30"/>
        <v>15174.1731154186</v>
      </c>
      <c r="J375" s="12">
        <f t="shared" si="31"/>
        <v>0.60025508603583</v>
      </c>
      <c r="K375" s="3" t="b">
        <f t="shared" si="32"/>
        <v>0</v>
      </c>
      <c r="L375" s="3" t="b">
        <f t="shared" si="33"/>
        <v>1</v>
      </c>
      <c r="M375" s="3" t="str">
        <f t="shared" si="34"/>
        <v>Not Eligible</v>
      </c>
      <c r="N375" s="3" t="str">
        <f t="shared" si="35"/>
        <v>FOIR exceeds 50%</v>
      </c>
      <c r="O375" s="3" t="s">
        <v>85</v>
      </c>
    </row>
    <row r="376" customHeight="1" spans="1:15">
      <c r="A376" s="3" t="s">
        <v>816</v>
      </c>
      <c r="B376" s="3" t="s">
        <v>817</v>
      </c>
      <c r="C376" s="10">
        <v>36448</v>
      </c>
      <c r="D376" s="10">
        <v>7281</v>
      </c>
      <c r="E376" s="10">
        <v>210000</v>
      </c>
      <c r="F376" s="10">
        <v>60</v>
      </c>
      <c r="G376" s="16">
        <v>10.38</v>
      </c>
      <c r="H376" s="10">
        <v>843</v>
      </c>
      <c r="I376" s="10">
        <f t="shared" si="30"/>
        <v>4501.24558478064</v>
      </c>
      <c r="J376" s="12">
        <f t="shared" si="31"/>
        <v>0.323261786237397</v>
      </c>
      <c r="K376" s="3" t="b">
        <f t="shared" si="32"/>
        <v>1</v>
      </c>
      <c r="L376" s="3" t="b">
        <f t="shared" si="33"/>
        <v>1</v>
      </c>
      <c r="M376" s="3" t="str">
        <f t="shared" si="34"/>
        <v>Eligible</v>
      </c>
      <c r="N376" s="3" t="str">
        <f t="shared" si="35"/>
        <v/>
      </c>
      <c r="O376" s="3" t="s">
        <v>85</v>
      </c>
    </row>
    <row r="377" customHeight="1" spans="1:15">
      <c r="A377" s="3" t="s">
        <v>818</v>
      </c>
      <c r="B377" s="3" t="s">
        <v>819</v>
      </c>
      <c r="C377" s="10">
        <v>63569</v>
      </c>
      <c r="D377" s="10">
        <v>8121</v>
      </c>
      <c r="E377" s="10">
        <v>1550000</v>
      </c>
      <c r="F377" s="10">
        <v>60</v>
      </c>
      <c r="G377" s="16">
        <v>14.89</v>
      </c>
      <c r="H377" s="10">
        <v>659</v>
      </c>
      <c r="I377" s="10">
        <f t="shared" si="30"/>
        <v>36784.9545738596</v>
      </c>
      <c r="J377" s="12">
        <f t="shared" si="31"/>
        <v>0.70641278884141</v>
      </c>
      <c r="K377" s="3" t="b">
        <f t="shared" si="32"/>
        <v>0</v>
      </c>
      <c r="L377" s="3" t="b">
        <f t="shared" si="33"/>
        <v>0</v>
      </c>
      <c r="M377" s="3" t="str">
        <f t="shared" si="34"/>
        <v>Not Eligible</v>
      </c>
      <c r="N377" s="3" t="str">
        <f t="shared" si="35"/>
        <v>FOIR exceeds 50% and credit score below 700</v>
      </c>
      <c r="O377" s="3" t="s">
        <v>85</v>
      </c>
    </row>
    <row r="378" customHeight="1" spans="1:15">
      <c r="A378" s="3" t="s">
        <v>820</v>
      </c>
      <c r="B378" s="3" t="s">
        <v>821</v>
      </c>
      <c r="C378" s="10">
        <v>25747</v>
      </c>
      <c r="D378" s="10">
        <v>0</v>
      </c>
      <c r="E378" s="10">
        <v>5150000</v>
      </c>
      <c r="F378" s="10">
        <v>240</v>
      </c>
      <c r="G378" s="16">
        <v>9.8</v>
      </c>
      <c r="H378" s="10">
        <v>759</v>
      </c>
      <c r="I378" s="10">
        <f t="shared" si="30"/>
        <v>49018.1299602861</v>
      </c>
      <c r="J378" s="12">
        <f t="shared" si="31"/>
        <v>1.90383850391448</v>
      </c>
      <c r="K378" s="3" t="b">
        <f t="shared" si="32"/>
        <v>0</v>
      </c>
      <c r="L378" s="3" t="b">
        <f t="shared" si="33"/>
        <v>1</v>
      </c>
      <c r="M378" s="3" t="str">
        <f t="shared" si="34"/>
        <v>Not Eligible</v>
      </c>
      <c r="N378" s="3" t="str">
        <f t="shared" si="35"/>
        <v>FOIR exceeds 50%</v>
      </c>
      <c r="O378" s="3" t="s">
        <v>91</v>
      </c>
    </row>
    <row r="379" customHeight="1" spans="1:15">
      <c r="A379" s="3" t="s">
        <v>822</v>
      </c>
      <c r="B379" s="3" t="s">
        <v>823</v>
      </c>
      <c r="C379" s="10">
        <v>44605</v>
      </c>
      <c r="D379" s="10">
        <v>16112</v>
      </c>
      <c r="E379" s="10">
        <v>1840000</v>
      </c>
      <c r="F379" s="10">
        <v>60</v>
      </c>
      <c r="G379" s="16">
        <v>15.15</v>
      </c>
      <c r="H379" s="10">
        <v>672</v>
      </c>
      <c r="I379" s="10">
        <f t="shared" si="30"/>
        <v>43918.4805669865</v>
      </c>
      <c r="J379" s="12">
        <f t="shared" si="31"/>
        <v>1.3458240234724</v>
      </c>
      <c r="K379" s="3" t="b">
        <f t="shared" si="32"/>
        <v>0</v>
      </c>
      <c r="L379" s="3" t="b">
        <f t="shared" si="33"/>
        <v>0</v>
      </c>
      <c r="M379" s="3" t="str">
        <f t="shared" si="34"/>
        <v>Not Eligible</v>
      </c>
      <c r="N379" s="3" t="str">
        <f t="shared" si="35"/>
        <v>FOIR exceeds 50% and credit score below 700</v>
      </c>
      <c r="O379" s="3" t="s">
        <v>85</v>
      </c>
    </row>
    <row r="380" customHeight="1" spans="1:15">
      <c r="A380" s="3" t="s">
        <v>824</v>
      </c>
      <c r="B380" s="3" t="s">
        <v>825</v>
      </c>
      <c r="C380" s="10">
        <v>53403</v>
      </c>
      <c r="D380" s="10">
        <v>21407</v>
      </c>
      <c r="E380" s="10">
        <v>790000</v>
      </c>
      <c r="F380" s="10">
        <v>60</v>
      </c>
      <c r="G380" s="16">
        <v>14.59</v>
      </c>
      <c r="H380" s="10">
        <v>817</v>
      </c>
      <c r="I380" s="10">
        <f t="shared" si="30"/>
        <v>18624.4543186487</v>
      </c>
      <c r="J380" s="12">
        <f t="shared" si="31"/>
        <v>0.749610589641944</v>
      </c>
      <c r="K380" s="3" t="b">
        <f t="shared" si="32"/>
        <v>0</v>
      </c>
      <c r="L380" s="3" t="b">
        <f t="shared" si="33"/>
        <v>1</v>
      </c>
      <c r="M380" s="3" t="str">
        <f t="shared" si="34"/>
        <v>Not Eligible</v>
      </c>
      <c r="N380" s="3" t="str">
        <f t="shared" si="35"/>
        <v>FOIR exceeds 50%</v>
      </c>
      <c r="O380" s="3" t="s">
        <v>85</v>
      </c>
    </row>
    <row r="381" customHeight="1" spans="1:15">
      <c r="A381" s="3" t="s">
        <v>826</v>
      </c>
      <c r="B381" s="3" t="s">
        <v>827</v>
      </c>
      <c r="C381" s="10">
        <v>93052</v>
      </c>
      <c r="D381" s="10">
        <v>6667</v>
      </c>
      <c r="E381" s="10">
        <v>4180000</v>
      </c>
      <c r="F381" s="10">
        <v>240</v>
      </c>
      <c r="G381" s="16">
        <v>9.36</v>
      </c>
      <c r="H381" s="10">
        <v>786</v>
      </c>
      <c r="I381" s="10">
        <f t="shared" si="30"/>
        <v>38581.7371280253</v>
      </c>
      <c r="J381" s="12">
        <f t="shared" si="31"/>
        <v>0.486273665563613</v>
      </c>
      <c r="K381" s="3" t="b">
        <f t="shared" si="32"/>
        <v>1</v>
      </c>
      <c r="L381" s="3" t="b">
        <f t="shared" si="33"/>
        <v>1</v>
      </c>
      <c r="M381" s="3" t="str">
        <f t="shared" si="34"/>
        <v>Eligible</v>
      </c>
      <c r="N381" s="3" t="str">
        <f t="shared" si="35"/>
        <v/>
      </c>
      <c r="O381" s="3" t="s">
        <v>85</v>
      </c>
    </row>
    <row r="382" customHeight="1" spans="1:15">
      <c r="A382" s="3" t="s">
        <v>828</v>
      </c>
      <c r="B382" s="3" t="s">
        <v>829</v>
      </c>
      <c r="C382" s="10">
        <v>146015</v>
      </c>
      <c r="D382" s="10">
        <v>65171</v>
      </c>
      <c r="E382" s="10">
        <v>90000</v>
      </c>
      <c r="F382" s="10">
        <v>36</v>
      </c>
      <c r="G382" s="16">
        <v>14.22</v>
      </c>
      <c r="H382" s="10">
        <v>697</v>
      </c>
      <c r="I382" s="10">
        <f t="shared" si="30"/>
        <v>3085.61211017226</v>
      </c>
      <c r="J382" s="12">
        <f t="shared" si="31"/>
        <v>0.467463014828424</v>
      </c>
      <c r="K382" s="3" t="b">
        <f t="shared" si="32"/>
        <v>1</v>
      </c>
      <c r="L382" s="3" t="b">
        <f t="shared" si="33"/>
        <v>0</v>
      </c>
      <c r="M382" s="3" t="str">
        <f t="shared" si="34"/>
        <v>Not Eligible</v>
      </c>
      <c r="N382" s="3" t="str">
        <f t="shared" si="35"/>
        <v>Credit score below 700</v>
      </c>
      <c r="O382" s="3" t="s">
        <v>85</v>
      </c>
    </row>
    <row r="383" customHeight="1" spans="1:15">
      <c r="A383" s="3" t="s">
        <v>830</v>
      </c>
      <c r="B383" s="3" t="s">
        <v>831</v>
      </c>
      <c r="C383" s="10">
        <v>26393</v>
      </c>
      <c r="D383" s="10">
        <v>0</v>
      </c>
      <c r="E383" s="10">
        <v>440000</v>
      </c>
      <c r="F383" s="10">
        <v>36</v>
      </c>
      <c r="G383" s="16">
        <v>13.75</v>
      </c>
      <c r="H383" s="10">
        <v>735</v>
      </c>
      <c r="I383" s="10">
        <f t="shared" si="30"/>
        <v>14984.7864193518</v>
      </c>
      <c r="J383" s="12">
        <f t="shared" si="31"/>
        <v>0.567756087574426</v>
      </c>
      <c r="K383" s="3" t="b">
        <f t="shared" si="32"/>
        <v>0</v>
      </c>
      <c r="L383" s="3" t="b">
        <f t="shared" si="33"/>
        <v>1</v>
      </c>
      <c r="M383" s="3" t="str">
        <f t="shared" si="34"/>
        <v>Not Eligible</v>
      </c>
      <c r="N383" s="3" t="str">
        <f t="shared" si="35"/>
        <v>FOIR exceeds 50%</v>
      </c>
      <c r="O383" s="3" t="s">
        <v>85</v>
      </c>
    </row>
    <row r="384" customHeight="1" spans="1:15">
      <c r="A384" s="3" t="s">
        <v>832</v>
      </c>
      <c r="B384" s="3" t="s">
        <v>480</v>
      </c>
      <c r="C384" s="10">
        <v>29589</v>
      </c>
      <c r="D384" s="10">
        <v>10870</v>
      </c>
      <c r="E384" s="10">
        <v>1440000</v>
      </c>
      <c r="F384" s="10">
        <v>84</v>
      </c>
      <c r="G384" s="16">
        <v>11.59</v>
      </c>
      <c r="H384" s="10">
        <v>620</v>
      </c>
      <c r="I384" s="10">
        <f t="shared" si="30"/>
        <v>25105.2829960439</v>
      </c>
      <c r="J384" s="12">
        <f t="shared" si="31"/>
        <v>1.21583301213437</v>
      </c>
      <c r="K384" s="3" t="b">
        <f t="shared" si="32"/>
        <v>0</v>
      </c>
      <c r="L384" s="3" t="b">
        <f t="shared" si="33"/>
        <v>0</v>
      </c>
      <c r="M384" s="3" t="str">
        <f t="shared" si="34"/>
        <v>Not Eligible</v>
      </c>
      <c r="N384" s="3" t="str">
        <f t="shared" si="35"/>
        <v>FOIR exceeds 50% and credit score below 700</v>
      </c>
      <c r="O384" s="3" t="s">
        <v>91</v>
      </c>
    </row>
    <row r="385" customHeight="1" spans="1:15">
      <c r="A385" s="3" t="s">
        <v>833</v>
      </c>
      <c r="B385" s="3" t="s">
        <v>834</v>
      </c>
      <c r="C385" s="10">
        <v>31621</v>
      </c>
      <c r="D385" s="10">
        <v>9304</v>
      </c>
      <c r="E385" s="10">
        <v>1050000</v>
      </c>
      <c r="F385" s="10">
        <v>84</v>
      </c>
      <c r="G385" s="16">
        <v>10.69</v>
      </c>
      <c r="H385" s="10">
        <v>702</v>
      </c>
      <c r="I385" s="10">
        <f t="shared" si="30"/>
        <v>17807.8697989994</v>
      </c>
      <c r="J385" s="12">
        <f t="shared" si="31"/>
        <v>0.857400771607456</v>
      </c>
      <c r="K385" s="3" t="b">
        <f t="shared" si="32"/>
        <v>0</v>
      </c>
      <c r="L385" s="3" t="b">
        <f t="shared" si="33"/>
        <v>1</v>
      </c>
      <c r="M385" s="3" t="str">
        <f t="shared" si="34"/>
        <v>Not Eligible</v>
      </c>
      <c r="N385" s="3" t="str">
        <f t="shared" si="35"/>
        <v>FOIR exceeds 50%</v>
      </c>
      <c r="O385" s="3" t="s">
        <v>85</v>
      </c>
    </row>
    <row r="386" customHeight="1" spans="1:15">
      <c r="A386" s="3" t="s">
        <v>835</v>
      </c>
      <c r="B386" s="3" t="s">
        <v>836</v>
      </c>
      <c r="C386" s="10">
        <v>89366</v>
      </c>
      <c r="D386" s="10">
        <v>32353</v>
      </c>
      <c r="E386" s="10">
        <v>320000</v>
      </c>
      <c r="F386" s="10">
        <v>60</v>
      </c>
      <c r="G386" s="16">
        <v>10.16</v>
      </c>
      <c r="H386" s="10">
        <v>792</v>
      </c>
      <c r="I386" s="10">
        <f t="shared" ref="I386:I449" si="36">IF(F386&lt;=0,"",IF(G386=0,E386/F386,E386*(G386/12/100)*(1+G386/12/100)^F386/((1+G386/12/100)^F386-1)))</f>
        <v>6824.27418535644</v>
      </c>
      <c r="J386" s="12">
        <f t="shared" ref="J386:J449" si="37">IF(C386&lt;=0,"",(D386+I386)/C386)</f>
        <v>0.438391269446506</v>
      </c>
      <c r="K386" s="3" t="b">
        <f t="shared" ref="K386:K449" si="38">IF(J386="","",J386&lt;=50%)</f>
        <v>1</v>
      </c>
      <c r="L386" s="3" t="b">
        <f t="shared" ref="L386:L449" si="39">H386&gt;=700</f>
        <v>1</v>
      </c>
      <c r="M386" s="3" t="str">
        <f t="shared" ref="M386:M449" si="40">IF(AND(K386,L386),"Eligible","Not Eligible")</f>
        <v>Eligible</v>
      </c>
      <c r="N386" s="3" t="str">
        <f t="shared" ref="N386:N449" si="41">IF(M386="Eligible","",IF(AND(NOT(K386),NOT(L386)),"FOIR exceeds 50% and credit score below 700",IF(NOT(K386),"FOIR exceeds 50%","Credit score below 700")))</f>
        <v/>
      </c>
      <c r="O386" s="3" t="s">
        <v>85</v>
      </c>
    </row>
    <row r="387" customHeight="1" spans="1:15">
      <c r="A387" s="3" t="s">
        <v>837</v>
      </c>
      <c r="B387" s="3" t="s">
        <v>838</v>
      </c>
      <c r="C387" s="10">
        <v>59376</v>
      </c>
      <c r="D387" s="10">
        <v>9402</v>
      </c>
      <c r="E387" s="10">
        <v>1190000</v>
      </c>
      <c r="F387" s="10">
        <v>84</v>
      </c>
      <c r="G387" s="16">
        <v>11.27</v>
      </c>
      <c r="H387" s="10">
        <v>610</v>
      </c>
      <c r="I387" s="10">
        <f t="shared" si="36"/>
        <v>20545.0282543388</v>
      </c>
      <c r="J387" s="12">
        <f t="shared" si="37"/>
        <v>0.504362507651893</v>
      </c>
      <c r="K387" s="3" t="b">
        <f t="shared" si="38"/>
        <v>0</v>
      </c>
      <c r="L387" s="3" t="b">
        <f t="shared" si="39"/>
        <v>0</v>
      </c>
      <c r="M387" s="3" t="str">
        <f t="shared" si="40"/>
        <v>Not Eligible</v>
      </c>
      <c r="N387" s="3" t="str">
        <f t="shared" si="41"/>
        <v>FOIR exceeds 50% and credit score below 700</v>
      </c>
      <c r="O387" s="3" t="s">
        <v>85</v>
      </c>
    </row>
    <row r="388" customHeight="1" spans="1:15">
      <c r="A388" s="3" t="s">
        <v>839</v>
      </c>
      <c r="B388" s="3" t="s">
        <v>87</v>
      </c>
      <c r="C388" s="10">
        <v>124219</v>
      </c>
      <c r="D388" s="10">
        <v>34713</v>
      </c>
      <c r="E388" s="10">
        <v>870000</v>
      </c>
      <c r="F388" s="10">
        <v>84</v>
      </c>
      <c r="G388" s="16">
        <v>10.94</v>
      </c>
      <c r="H388" s="10">
        <v>679</v>
      </c>
      <c r="I388" s="10">
        <f t="shared" si="36"/>
        <v>14869.0875177691</v>
      </c>
      <c r="J388" s="12">
        <f t="shared" si="37"/>
        <v>0.399150593047514</v>
      </c>
      <c r="K388" s="3" t="b">
        <f t="shared" si="38"/>
        <v>1</v>
      </c>
      <c r="L388" s="3" t="b">
        <f t="shared" si="39"/>
        <v>0</v>
      </c>
      <c r="M388" s="3" t="str">
        <f t="shared" si="40"/>
        <v>Not Eligible</v>
      </c>
      <c r="N388" s="3" t="str">
        <f t="shared" si="41"/>
        <v>Credit score below 700</v>
      </c>
      <c r="O388" s="3" t="s">
        <v>85</v>
      </c>
    </row>
    <row r="389" customHeight="1" spans="1:15">
      <c r="A389" s="3" t="s">
        <v>840</v>
      </c>
      <c r="B389" s="3" t="s">
        <v>841</v>
      </c>
      <c r="C389" s="10">
        <v>48155</v>
      </c>
      <c r="D389" s="10">
        <v>14328</v>
      </c>
      <c r="E389" s="10">
        <v>930000</v>
      </c>
      <c r="F389" s="10">
        <v>60</v>
      </c>
      <c r="G389" s="16">
        <v>13.77</v>
      </c>
      <c r="H389" s="10">
        <v>617</v>
      </c>
      <c r="I389" s="10">
        <f t="shared" si="36"/>
        <v>21528.7395924886</v>
      </c>
      <c r="J389" s="12">
        <f t="shared" si="37"/>
        <v>0.74461093536473</v>
      </c>
      <c r="K389" s="3" t="b">
        <f t="shared" si="38"/>
        <v>0</v>
      </c>
      <c r="L389" s="3" t="b">
        <f t="shared" si="39"/>
        <v>0</v>
      </c>
      <c r="M389" s="3" t="str">
        <f t="shared" si="40"/>
        <v>Not Eligible</v>
      </c>
      <c r="N389" s="3" t="str">
        <f t="shared" si="41"/>
        <v>FOIR exceeds 50% and credit score below 700</v>
      </c>
      <c r="O389" s="3" t="s">
        <v>85</v>
      </c>
    </row>
    <row r="390" customHeight="1" spans="1:15">
      <c r="A390" s="3" t="s">
        <v>842</v>
      </c>
      <c r="B390" s="3" t="s">
        <v>843</v>
      </c>
      <c r="C390" s="10">
        <v>25291</v>
      </c>
      <c r="D390" s="10">
        <v>0</v>
      </c>
      <c r="E390" s="10">
        <v>570000</v>
      </c>
      <c r="F390" s="10">
        <v>48</v>
      </c>
      <c r="G390" s="16">
        <v>11.94</v>
      </c>
      <c r="H390" s="10">
        <v>794</v>
      </c>
      <c r="I390" s="10">
        <f t="shared" si="36"/>
        <v>14993.4997879051</v>
      </c>
      <c r="J390" s="12">
        <f t="shared" si="37"/>
        <v>0.592839341580211</v>
      </c>
      <c r="K390" s="3" t="b">
        <f t="shared" si="38"/>
        <v>0</v>
      </c>
      <c r="L390" s="3" t="b">
        <f t="shared" si="39"/>
        <v>1</v>
      </c>
      <c r="M390" s="3" t="str">
        <f t="shared" si="40"/>
        <v>Not Eligible</v>
      </c>
      <c r="N390" s="3" t="str">
        <f t="shared" si="41"/>
        <v>FOIR exceeds 50%</v>
      </c>
      <c r="O390" s="3" t="s">
        <v>85</v>
      </c>
    </row>
    <row r="391" customHeight="1" spans="1:15">
      <c r="A391" s="3" t="s">
        <v>844</v>
      </c>
      <c r="B391" s="3" t="s">
        <v>440</v>
      </c>
      <c r="C391" s="10">
        <v>23192</v>
      </c>
      <c r="D391" s="10">
        <v>3529</v>
      </c>
      <c r="E391" s="10">
        <v>490000</v>
      </c>
      <c r="F391" s="10">
        <v>48</v>
      </c>
      <c r="G391" s="16">
        <v>10.7</v>
      </c>
      <c r="H391" s="10">
        <v>798</v>
      </c>
      <c r="I391" s="10">
        <f t="shared" si="36"/>
        <v>12593.0369864274</v>
      </c>
      <c r="J391" s="12">
        <f t="shared" si="37"/>
        <v>0.695155095999802</v>
      </c>
      <c r="K391" s="3" t="b">
        <f t="shared" si="38"/>
        <v>0</v>
      </c>
      <c r="L391" s="3" t="b">
        <f t="shared" si="39"/>
        <v>1</v>
      </c>
      <c r="M391" s="3" t="str">
        <f t="shared" si="40"/>
        <v>Not Eligible</v>
      </c>
      <c r="N391" s="3" t="str">
        <f t="shared" si="41"/>
        <v>FOIR exceeds 50%</v>
      </c>
      <c r="O391" s="3" t="s">
        <v>85</v>
      </c>
    </row>
    <row r="392" customHeight="1" spans="1:15">
      <c r="A392" s="3" t="s">
        <v>845</v>
      </c>
      <c r="B392" s="3" t="s">
        <v>186</v>
      </c>
      <c r="C392" s="10">
        <v>47458</v>
      </c>
      <c r="D392" s="10">
        <v>0</v>
      </c>
      <c r="E392" s="10">
        <v>200000</v>
      </c>
      <c r="F392" s="10">
        <v>36</v>
      </c>
      <c r="G392" s="16">
        <v>14.32</v>
      </c>
      <c r="H392" s="10">
        <v>796</v>
      </c>
      <c r="I392" s="10">
        <f t="shared" si="36"/>
        <v>6866.65131764446</v>
      </c>
      <c r="J392" s="12">
        <f t="shared" si="37"/>
        <v>0.144689015922383</v>
      </c>
      <c r="K392" s="3" t="b">
        <f t="shared" si="38"/>
        <v>1</v>
      </c>
      <c r="L392" s="3" t="b">
        <f t="shared" si="39"/>
        <v>1</v>
      </c>
      <c r="M392" s="3" t="str">
        <f t="shared" si="40"/>
        <v>Eligible</v>
      </c>
      <c r="N392" s="3" t="str">
        <f t="shared" si="41"/>
        <v/>
      </c>
      <c r="O392" s="3" t="s">
        <v>85</v>
      </c>
    </row>
    <row r="393" customHeight="1" spans="1:15">
      <c r="A393" s="3" t="s">
        <v>846</v>
      </c>
      <c r="B393" s="3" t="s">
        <v>847</v>
      </c>
      <c r="C393" s="10">
        <v>83668</v>
      </c>
      <c r="D393" s="10">
        <v>0</v>
      </c>
      <c r="E393" s="10">
        <v>280000</v>
      </c>
      <c r="F393" s="10">
        <v>36</v>
      </c>
      <c r="G393" s="16">
        <v>13.69</v>
      </c>
      <c r="H393" s="10">
        <v>701</v>
      </c>
      <c r="I393" s="10">
        <f t="shared" si="36"/>
        <v>9527.63249644528</v>
      </c>
      <c r="J393" s="12">
        <f t="shared" si="37"/>
        <v>0.113874270885467</v>
      </c>
      <c r="K393" s="3" t="b">
        <f t="shared" si="38"/>
        <v>1</v>
      </c>
      <c r="L393" s="3" t="b">
        <f t="shared" si="39"/>
        <v>1</v>
      </c>
      <c r="M393" s="3" t="str">
        <f t="shared" si="40"/>
        <v>Eligible</v>
      </c>
      <c r="N393" s="3" t="str">
        <f t="shared" si="41"/>
        <v/>
      </c>
      <c r="O393" s="3" t="s">
        <v>85</v>
      </c>
    </row>
    <row r="394" customHeight="1" spans="1:15">
      <c r="A394" s="3" t="s">
        <v>848</v>
      </c>
      <c r="B394" s="3" t="s">
        <v>836</v>
      </c>
      <c r="C394" s="10">
        <v>144830</v>
      </c>
      <c r="D394" s="10">
        <v>0</v>
      </c>
      <c r="E394" s="10">
        <v>290000</v>
      </c>
      <c r="F394" s="10">
        <v>36</v>
      </c>
      <c r="G394" s="16">
        <v>14.14</v>
      </c>
      <c r="H394" s="10">
        <v>690</v>
      </c>
      <c r="I394" s="10">
        <f t="shared" si="36"/>
        <v>9931.24309938896</v>
      </c>
      <c r="J394" s="12">
        <f t="shared" si="37"/>
        <v>0.0685717261574878</v>
      </c>
      <c r="K394" s="3" t="b">
        <f t="shared" si="38"/>
        <v>1</v>
      </c>
      <c r="L394" s="3" t="b">
        <f t="shared" si="39"/>
        <v>0</v>
      </c>
      <c r="M394" s="3" t="str">
        <f t="shared" si="40"/>
        <v>Not Eligible</v>
      </c>
      <c r="N394" s="3" t="str">
        <f t="shared" si="41"/>
        <v>Credit score below 700</v>
      </c>
      <c r="O394" s="3" t="s">
        <v>85</v>
      </c>
    </row>
    <row r="395" customHeight="1" spans="1:15">
      <c r="A395" s="3" t="s">
        <v>849</v>
      </c>
      <c r="B395" s="3" t="s">
        <v>850</v>
      </c>
      <c r="C395" s="10">
        <v>65372</v>
      </c>
      <c r="D395" s="10">
        <v>0</v>
      </c>
      <c r="E395" s="10">
        <v>970000</v>
      </c>
      <c r="F395" s="10">
        <v>60</v>
      </c>
      <c r="G395" s="16">
        <v>9.93</v>
      </c>
      <c r="H395" s="10">
        <v>654</v>
      </c>
      <c r="I395" s="10">
        <f t="shared" si="36"/>
        <v>20576.2396997009</v>
      </c>
      <c r="J395" s="12">
        <f t="shared" si="37"/>
        <v>0.314756160125144</v>
      </c>
      <c r="K395" s="3" t="b">
        <f t="shared" si="38"/>
        <v>1</v>
      </c>
      <c r="L395" s="3" t="b">
        <f t="shared" si="39"/>
        <v>0</v>
      </c>
      <c r="M395" s="3" t="str">
        <f t="shared" si="40"/>
        <v>Not Eligible</v>
      </c>
      <c r="N395" s="3" t="str">
        <f t="shared" si="41"/>
        <v>Credit score below 700</v>
      </c>
      <c r="O395" s="3" t="s">
        <v>85</v>
      </c>
    </row>
    <row r="396" customHeight="1" spans="1:15">
      <c r="A396" s="3" t="s">
        <v>851</v>
      </c>
      <c r="B396" s="3" t="s">
        <v>852</v>
      </c>
      <c r="C396" s="10">
        <v>56389</v>
      </c>
      <c r="D396" s="10">
        <v>7202</v>
      </c>
      <c r="E396" s="10">
        <v>5370000</v>
      </c>
      <c r="F396" s="10">
        <v>240</v>
      </c>
      <c r="G396" s="16">
        <v>9.21</v>
      </c>
      <c r="H396" s="10">
        <v>671</v>
      </c>
      <c r="I396" s="10">
        <f t="shared" si="36"/>
        <v>49042.917957608</v>
      </c>
      <c r="J396" s="12">
        <f t="shared" si="37"/>
        <v>0.997444855514515</v>
      </c>
      <c r="K396" s="3" t="b">
        <f t="shared" si="38"/>
        <v>0</v>
      </c>
      <c r="L396" s="3" t="b">
        <f t="shared" si="39"/>
        <v>0</v>
      </c>
      <c r="M396" s="3" t="str">
        <f t="shared" si="40"/>
        <v>Not Eligible</v>
      </c>
      <c r="N396" s="3" t="str">
        <f t="shared" si="41"/>
        <v>FOIR exceeds 50% and credit score below 700</v>
      </c>
      <c r="O396" s="3" t="s">
        <v>91</v>
      </c>
    </row>
    <row r="397" customHeight="1" spans="1:15">
      <c r="A397" s="3" t="s">
        <v>853</v>
      </c>
      <c r="B397" s="3" t="s">
        <v>570</v>
      </c>
      <c r="C397" s="10">
        <v>47607</v>
      </c>
      <c r="D397" s="10">
        <v>0</v>
      </c>
      <c r="E397" s="10">
        <v>920000</v>
      </c>
      <c r="F397" s="10">
        <v>84</v>
      </c>
      <c r="G397" s="16">
        <v>11.3</v>
      </c>
      <c r="H397" s="10">
        <v>721</v>
      </c>
      <c r="I397" s="10">
        <f t="shared" si="36"/>
        <v>15898.1341417983</v>
      </c>
      <c r="J397" s="12">
        <f t="shared" si="37"/>
        <v>0.333945305139965</v>
      </c>
      <c r="K397" s="3" t="b">
        <f t="shared" si="38"/>
        <v>1</v>
      </c>
      <c r="L397" s="3" t="b">
        <f t="shared" si="39"/>
        <v>1</v>
      </c>
      <c r="M397" s="3" t="str">
        <f t="shared" si="40"/>
        <v>Eligible</v>
      </c>
      <c r="N397" s="3" t="str">
        <f t="shared" si="41"/>
        <v/>
      </c>
      <c r="O397" s="3" t="s">
        <v>85</v>
      </c>
    </row>
    <row r="398" customHeight="1" spans="1:15">
      <c r="A398" s="3" t="s">
        <v>854</v>
      </c>
      <c r="B398" s="3" t="s">
        <v>855</v>
      </c>
      <c r="C398" s="10">
        <v>111175</v>
      </c>
      <c r="D398" s="10">
        <v>0</v>
      </c>
      <c r="E398" s="10">
        <v>300000</v>
      </c>
      <c r="F398" s="10">
        <v>36</v>
      </c>
      <c r="G398" s="16">
        <v>13.12</v>
      </c>
      <c r="H398" s="10">
        <v>709</v>
      </c>
      <c r="I398" s="10">
        <f t="shared" si="36"/>
        <v>10125.5341612233</v>
      </c>
      <c r="J398" s="12">
        <f t="shared" si="37"/>
        <v>0.0910774379242034</v>
      </c>
      <c r="K398" s="3" t="b">
        <f t="shared" si="38"/>
        <v>1</v>
      </c>
      <c r="L398" s="3" t="b">
        <f t="shared" si="39"/>
        <v>1</v>
      </c>
      <c r="M398" s="3" t="str">
        <f t="shared" si="40"/>
        <v>Eligible</v>
      </c>
      <c r="N398" s="3" t="str">
        <f t="shared" si="41"/>
        <v/>
      </c>
      <c r="O398" s="3" t="s">
        <v>85</v>
      </c>
    </row>
    <row r="399" customHeight="1" spans="1:15">
      <c r="A399" s="3" t="s">
        <v>856</v>
      </c>
      <c r="B399" s="3" t="s">
        <v>207</v>
      </c>
      <c r="C399" s="10">
        <v>94680</v>
      </c>
      <c r="D399" s="10">
        <v>0</v>
      </c>
      <c r="E399" s="10">
        <v>370000</v>
      </c>
      <c r="F399" s="10">
        <v>36</v>
      </c>
      <c r="G399" s="16">
        <v>13.2</v>
      </c>
      <c r="H399" s="10">
        <v>686</v>
      </c>
      <c r="I399" s="10">
        <f t="shared" si="36"/>
        <v>12502.4351115074</v>
      </c>
      <c r="J399" s="12">
        <f t="shared" si="37"/>
        <v>0.13204937802606</v>
      </c>
      <c r="K399" s="3" t="b">
        <f t="shared" si="38"/>
        <v>1</v>
      </c>
      <c r="L399" s="3" t="b">
        <f t="shared" si="39"/>
        <v>0</v>
      </c>
      <c r="M399" s="3" t="str">
        <f t="shared" si="40"/>
        <v>Not Eligible</v>
      </c>
      <c r="N399" s="3" t="str">
        <f t="shared" si="41"/>
        <v>Credit score below 700</v>
      </c>
      <c r="O399" s="3" t="s">
        <v>85</v>
      </c>
    </row>
    <row r="400" customHeight="1" spans="1:15">
      <c r="A400" s="3" t="s">
        <v>857</v>
      </c>
      <c r="B400" s="3" t="s">
        <v>858</v>
      </c>
      <c r="C400" s="10">
        <v>69653</v>
      </c>
      <c r="D400" s="10">
        <v>29060</v>
      </c>
      <c r="E400" s="10">
        <v>680000</v>
      </c>
      <c r="F400" s="10">
        <v>60</v>
      </c>
      <c r="G400" s="16">
        <v>14.02</v>
      </c>
      <c r="H400" s="10">
        <v>723</v>
      </c>
      <c r="I400" s="10">
        <f t="shared" si="36"/>
        <v>15829.4622082944</v>
      </c>
      <c r="J400" s="12">
        <f t="shared" si="37"/>
        <v>0.644472775161076</v>
      </c>
      <c r="K400" s="3" t="b">
        <f t="shared" si="38"/>
        <v>0</v>
      </c>
      <c r="L400" s="3" t="b">
        <f t="shared" si="39"/>
        <v>1</v>
      </c>
      <c r="M400" s="3" t="str">
        <f t="shared" si="40"/>
        <v>Not Eligible</v>
      </c>
      <c r="N400" s="3" t="str">
        <f t="shared" si="41"/>
        <v>FOIR exceeds 50%</v>
      </c>
      <c r="O400" s="3" t="s">
        <v>85</v>
      </c>
    </row>
    <row r="401" customHeight="1" spans="1:15">
      <c r="A401" s="3" t="s">
        <v>859</v>
      </c>
      <c r="B401" s="3" t="s">
        <v>860</v>
      </c>
      <c r="C401" s="10">
        <v>31355</v>
      </c>
      <c r="D401" s="10">
        <v>10167</v>
      </c>
      <c r="E401" s="10">
        <v>650000</v>
      </c>
      <c r="F401" s="10">
        <v>60</v>
      </c>
      <c r="G401" s="16">
        <v>9.49</v>
      </c>
      <c r="H401" s="10">
        <v>767</v>
      </c>
      <c r="I401" s="10">
        <f t="shared" si="36"/>
        <v>13648.0335769744</v>
      </c>
      <c r="J401" s="12">
        <f t="shared" si="37"/>
        <v>0.759529056832225</v>
      </c>
      <c r="K401" s="3" t="b">
        <f t="shared" si="38"/>
        <v>0</v>
      </c>
      <c r="L401" s="3" t="b">
        <f t="shared" si="39"/>
        <v>1</v>
      </c>
      <c r="M401" s="3" t="str">
        <f t="shared" si="40"/>
        <v>Not Eligible</v>
      </c>
      <c r="N401" s="3" t="str">
        <f t="shared" si="41"/>
        <v>FOIR exceeds 50%</v>
      </c>
      <c r="O401" s="3" t="s">
        <v>85</v>
      </c>
    </row>
    <row r="402" customHeight="1" spans="1:15">
      <c r="A402" s="3" t="s">
        <v>861</v>
      </c>
      <c r="B402" s="3" t="s">
        <v>468</v>
      </c>
      <c r="C402" s="10">
        <v>52524</v>
      </c>
      <c r="D402" s="10">
        <v>20064</v>
      </c>
      <c r="E402" s="10">
        <v>220000</v>
      </c>
      <c r="F402" s="10">
        <v>36</v>
      </c>
      <c r="G402" s="16">
        <v>14.59</v>
      </c>
      <c r="H402" s="10">
        <v>746</v>
      </c>
      <c r="I402" s="10">
        <f t="shared" si="36"/>
        <v>7582.27506077761</v>
      </c>
      <c r="J402" s="12">
        <f t="shared" si="37"/>
        <v>0.526355095970939</v>
      </c>
      <c r="K402" s="3" t="b">
        <f t="shared" si="38"/>
        <v>0</v>
      </c>
      <c r="L402" s="3" t="b">
        <f t="shared" si="39"/>
        <v>1</v>
      </c>
      <c r="M402" s="3" t="str">
        <f t="shared" si="40"/>
        <v>Not Eligible</v>
      </c>
      <c r="N402" s="3" t="str">
        <f t="shared" si="41"/>
        <v>FOIR exceeds 50%</v>
      </c>
      <c r="O402" s="3" t="s">
        <v>85</v>
      </c>
    </row>
    <row r="403" customHeight="1" spans="1:15">
      <c r="A403" s="3" t="s">
        <v>862</v>
      </c>
      <c r="B403" s="3" t="s">
        <v>863</v>
      </c>
      <c r="C403" s="10">
        <v>25911</v>
      </c>
      <c r="D403" s="10">
        <v>0</v>
      </c>
      <c r="E403" s="10">
        <v>1220000</v>
      </c>
      <c r="F403" s="10">
        <v>84</v>
      </c>
      <c r="G403" s="16">
        <v>10.4</v>
      </c>
      <c r="H403" s="10">
        <v>748</v>
      </c>
      <c r="I403" s="10">
        <f t="shared" si="36"/>
        <v>20506.4834368551</v>
      </c>
      <c r="J403" s="12">
        <f t="shared" si="37"/>
        <v>0.79141999293177</v>
      </c>
      <c r="K403" s="3" t="b">
        <f t="shared" si="38"/>
        <v>0</v>
      </c>
      <c r="L403" s="3" t="b">
        <f t="shared" si="39"/>
        <v>1</v>
      </c>
      <c r="M403" s="3" t="str">
        <f t="shared" si="40"/>
        <v>Not Eligible</v>
      </c>
      <c r="N403" s="3" t="str">
        <f t="shared" si="41"/>
        <v>FOIR exceeds 50%</v>
      </c>
      <c r="O403" s="3" t="s">
        <v>85</v>
      </c>
    </row>
    <row r="404" customHeight="1" spans="1:15">
      <c r="A404" s="3" t="s">
        <v>864</v>
      </c>
      <c r="B404" s="3" t="s">
        <v>865</v>
      </c>
      <c r="C404" s="10">
        <v>28780</v>
      </c>
      <c r="D404" s="10">
        <v>0</v>
      </c>
      <c r="E404" s="10">
        <v>540000</v>
      </c>
      <c r="F404" s="10">
        <v>48</v>
      </c>
      <c r="G404" s="16">
        <v>10.86</v>
      </c>
      <c r="H404" s="10">
        <v>717</v>
      </c>
      <c r="I404" s="10">
        <f t="shared" si="36"/>
        <v>13919.8970108447</v>
      </c>
      <c r="J404" s="12">
        <f t="shared" si="37"/>
        <v>0.48366563623505</v>
      </c>
      <c r="K404" s="3" t="b">
        <f t="shared" si="38"/>
        <v>1</v>
      </c>
      <c r="L404" s="3" t="b">
        <f t="shared" si="39"/>
        <v>1</v>
      </c>
      <c r="M404" s="3" t="str">
        <f t="shared" si="40"/>
        <v>Eligible</v>
      </c>
      <c r="N404" s="3" t="str">
        <f t="shared" si="41"/>
        <v/>
      </c>
      <c r="O404" s="3" t="s">
        <v>85</v>
      </c>
    </row>
    <row r="405" customHeight="1" spans="1:15">
      <c r="A405" s="3" t="s">
        <v>866</v>
      </c>
      <c r="B405" s="3" t="s">
        <v>867</v>
      </c>
      <c r="C405" s="10">
        <v>53508</v>
      </c>
      <c r="D405" s="10">
        <v>17568</v>
      </c>
      <c r="E405" s="10">
        <v>310000</v>
      </c>
      <c r="F405" s="10">
        <v>84</v>
      </c>
      <c r="G405" s="16">
        <v>11.2</v>
      </c>
      <c r="H405" s="10">
        <v>766</v>
      </c>
      <c r="I405" s="10">
        <f t="shared" si="36"/>
        <v>5340.61043716917</v>
      </c>
      <c r="J405" s="12">
        <f t="shared" si="37"/>
        <v>0.428134305845279</v>
      </c>
      <c r="K405" s="3" t="b">
        <f t="shared" si="38"/>
        <v>1</v>
      </c>
      <c r="L405" s="3" t="b">
        <f t="shared" si="39"/>
        <v>1</v>
      </c>
      <c r="M405" s="3" t="str">
        <f t="shared" si="40"/>
        <v>Eligible</v>
      </c>
      <c r="N405" s="3" t="str">
        <f t="shared" si="41"/>
        <v/>
      </c>
      <c r="O405" s="3" t="s">
        <v>85</v>
      </c>
    </row>
    <row r="406" customHeight="1" spans="1:15">
      <c r="A406" s="3" t="s">
        <v>868</v>
      </c>
      <c r="B406" s="3" t="s">
        <v>478</v>
      </c>
      <c r="C406" s="10">
        <v>64461</v>
      </c>
      <c r="D406" s="10">
        <v>11400</v>
      </c>
      <c r="E406" s="10">
        <v>940000</v>
      </c>
      <c r="F406" s="10">
        <v>60</v>
      </c>
      <c r="G406" s="16">
        <v>10.33</v>
      </c>
      <c r="H406" s="10">
        <v>686</v>
      </c>
      <c r="I406" s="10">
        <f t="shared" si="36"/>
        <v>20125.1952159041</v>
      </c>
      <c r="J406" s="12">
        <f t="shared" si="37"/>
        <v>0.489058426271763</v>
      </c>
      <c r="K406" s="3" t="b">
        <f t="shared" si="38"/>
        <v>1</v>
      </c>
      <c r="L406" s="3" t="b">
        <f t="shared" si="39"/>
        <v>0</v>
      </c>
      <c r="M406" s="3" t="str">
        <f t="shared" si="40"/>
        <v>Not Eligible</v>
      </c>
      <c r="N406" s="3" t="str">
        <f t="shared" si="41"/>
        <v>Credit score below 700</v>
      </c>
      <c r="O406" s="3" t="s">
        <v>91</v>
      </c>
    </row>
    <row r="407" customHeight="1" spans="1:15">
      <c r="A407" s="3" t="s">
        <v>869</v>
      </c>
      <c r="B407" s="3" t="s">
        <v>870</v>
      </c>
      <c r="C407" s="10">
        <v>83250</v>
      </c>
      <c r="D407" s="10">
        <v>0</v>
      </c>
      <c r="E407" s="10">
        <v>1560000</v>
      </c>
      <c r="F407" s="10">
        <v>60</v>
      </c>
      <c r="G407" s="16">
        <v>13.79</v>
      </c>
      <c r="H407" s="10">
        <v>604</v>
      </c>
      <c r="I407" s="10">
        <f t="shared" si="36"/>
        <v>36128.8550530342</v>
      </c>
      <c r="J407" s="12">
        <f t="shared" si="37"/>
        <v>0.433980240877288</v>
      </c>
      <c r="K407" s="3" t="b">
        <f t="shared" si="38"/>
        <v>1</v>
      </c>
      <c r="L407" s="3" t="b">
        <f t="shared" si="39"/>
        <v>0</v>
      </c>
      <c r="M407" s="3" t="str">
        <f t="shared" si="40"/>
        <v>Not Eligible</v>
      </c>
      <c r="N407" s="3" t="str">
        <f t="shared" si="41"/>
        <v>Credit score below 700</v>
      </c>
      <c r="O407" s="3" t="s">
        <v>91</v>
      </c>
    </row>
    <row r="408" customHeight="1" spans="1:15">
      <c r="A408" s="3" t="s">
        <v>871</v>
      </c>
      <c r="B408" s="3" t="s">
        <v>466</v>
      </c>
      <c r="C408" s="10">
        <v>44347</v>
      </c>
      <c r="D408" s="10">
        <v>18213</v>
      </c>
      <c r="E408" s="10">
        <v>360000</v>
      </c>
      <c r="F408" s="10">
        <v>60</v>
      </c>
      <c r="G408" s="16">
        <v>9.16</v>
      </c>
      <c r="H408" s="10">
        <v>719</v>
      </c>
      <c r="I408" s="10">
        <f t="shared" si="36"/>
        <v>7500.99397700089</v>
      </c>
      <c r="J408" s="12">
        <f t="shared" si="37"/>
        <v>0.579836155252912</v>
      </c>
      <c r="K408" s="3" t="b">
        <f t="shared" si="38"/>
        <v>0</v>
      </c>
      <c r="L408" s="3" t="b">
        <f t="shared" si="39"/>
        <v>1</v>
      </c>
      <c r="M408" s="3" t="str">
        <f t="shared" si="40"/>
        <v>Not Eligible</v>
      </c>
      <c r="N408" s="3" t="str">
        <f t="shared" si="41"/>
        <v>FOIR exceeds 50%</v>
      </c>
      <c r="O408" s="3" t="s">
        <v>85</v>
      </c>
    </row>
    <row r="409" customHeight="1" spans="1:15">
      <c r="A409" s="3" t="s">
        <v>872</v>
      </c>
      <c r="B409" s="3" t="s">
        <v>496</v>
      </c>
      <c r="C409" s="10">
        <v>48481</v>
      </c>
      <c r="D409" s="10">
        <v>0</v>
      </c>
      <c r="E409" s="10">
        <v>270000</v>
      </c>
      <c r="F409" s="10">
        <v>36</v>
      </c>
      <c r="G409" s="16">
        <v>14.58</v>
      </c>
      <c r="H409" s="10">
        <v>725</v>
      </c>
      <c r="I409" s="10">
        <f t="shared" si="36"/>
        <v>9304.20168349298</v>
      </c>
      <c r="J409" s="12">
        <f t="shared" si="37"/>
        <v>0.191914392926981</v>
      </c>
      <c r="K409" s="3" t="b">
        <f t="shared" si="38"/>
        <v>1</v>
      </c>
      <c r="L409" s="3" t="b">
        <f t="shared" si="39"/>
        <v>1</v>
      </c>
      <c r="M409" s="3" t="str">
        <f t="shared" si="40"/>
        <v>Eligible</v>
      </c>
      <c r="N409" s="3" t="str">
        <f t="shared" si="41"/>
        <v/>
      </c>
      <c r="O409" s="3" t="s">
        <v>85</v>
      </c>
    </row>
    <row r="410" customHeight="1" spans="1:15">
      <c r="A410" s="3" t="s">
        <v>873</v>
      </c>
      <c r="B410" s="3" t="s">
        <v>874</v>
      </c>
      <c r="C410" s="10">
        <v>113472</v>
      </c>
      <c r="D410" s="10">
        <v>0</v>
      </c>
      <c r="E410" s="10">
        <v>1070000</v>
      </c>
      <c r="F410" s="10">
        <v>60</v>
      </c>
      <c r="G410" s="16">
        <v>14.08</v>
      </c>
      <c r="H410" s="10">
        <v>747</v>
      </c>
      <c r="I410" s="10">
        <f t="shared" si="36"/>
        <v>24941.4288938945</v>
      </c>
      <c r="J410" s="12">
        <f t="shared" si="37"/>
        <v>0.21980249659735</v>
      </c>
      <c r="K410" s="3" t="b">
        <f t="shared" si="38"/>
        <v>1</v>
      </c>
      <c r="L410" s="3" t="b">
        <f t="shared" si="39"/>
        <v>1</v>
      </c>
      <c r="M410" s="3" t="str">
        <f t="shared" si="40"/>
        <v>Eligible</v>
      </c>
      <c r="N410" s="3" t="str">
        <f t="shared" si="41"/>
        <v/>
      </c>
      <c r="O410" s="3" t="s">
        <v>85</v>
      </c>
    </row>
    <row r="411" customHeight="1" spans="1:15">
      <c r="A411" s="3" t="s">
        <v>875</v>
      </c>
      <c r="B411" s="3" t="s">
        <v>876</v>
      </c>
      <c r="C411" s="10">
        <v>42772</v>
      </c>
      <c r="D411" s="10">
        <v>5629</v>
      </c>
      <c r="E411" s="10">
        <v>1700000</v>
      </c>
      <c r="F411" s="10">
        <v>60</v>
      </c>
      <c r="G411" s="16">
        <v>15.04</v>
      </c>
      <c r="H411" s="10">
        <v>723</v>
      </c>
      <c r="I411" s="10">
        <f t="shared" si="36"/>
        <v>40478.583950649</v>
      </c>
      <c r="J411" s="12">
        <f t="shared" si="37"/>
        <v>1.07798522282449</v>
      </c>
      <c r="K411" s="3" t="b">
        <f t="shared" si="38"/>
        <v>0</v>
      </c>
      <c r="L411" s="3" t="b">
        <f t="shared" si="39"/>
        <v>1</v>
      </c>
      <c r="M411" s="3" t="str">
        <f t="shared" si="40"/>
        <v>Not Eligible</v>
      </c>
      <c r="N411" s="3" t="str">
        <f t="shared" si="41"/>
        <v>FOIR exceeds 50%</v>
      </c>
      <c r="O411" s="3" t="s">
        <v>85</v>
      </c>
    </row>
    <row r="412" customHeight="1" spans="1:15">
      <c r="A412" s="3" t="s">
        <v>877</v>
      </c>
      <c r="B412" s="3" t="s">
        <v>222</v>
      </c>
      <c r="C412" s="10">
        <v>28906</v>
      </c>
      <c r="D412" s="10">
        <v>0</v>
      </c>
      <c r="E412" s="10">
        <v>1400000</v>
      </c>
      <c r="F412" s="10">
        <v>60</v>
      </c>
      <c r="G412" s="16">
        <v>13.61</v>
      </c>
      <c r="H412" s="10">
        <v>597</v>
      </c>
      <c r="I412" s="10">
        <f t="shared" si="36"/>
        <v>32293.1774050538</v>
      </c>
      <c r="J412" s="12">
        <f t="shared" si="37"/>
        <v>1.11717904258818</v>
      </c>
      <c r="K412" s="3" t="b">
        <f t="shared" si="38"/>
        <v>0</v>
      </c>
      <c r="L412" s="3" t="b">
        <f t="shared" si="39"/>
        <v>0</v>
      </c>
      <c r="M412" s="3" t="str">
        <f t="shared" si="40"/>
        <v>Not Eligible</v>
      </c>
      <c r="N412" s="3" t="str">
        <f t="shared" si="41"/>
        <v>FOIR exceeds 50% and credit score below 700</v>
      </c>
      <c r="O412" s="3" t="s">
        <v>91</v>
      </c>
    </row>
    <row r="413" customHeight="1" spans="1:15">
      <c r="A413" s="3" t="s">
        <v>878</v>
      </c>
      <c r="B413" s="3" t="s">
        <v>879</v>
      </c>
      <c r="C413" s="10">
        <v>50268</v>
      </c>
      <c r="D413" s="10">
        <v>0</v>
      </c>
      <c r="E413" s="10">
        <v>790000</v>
      </c>
      <c r="F413" s="10">
        <v>60</v>
      </c>
      <c r="G413" s="16">
        <v>10.31</v>
      </c>
      <c r="H413" s="10">
        <v>583</v>
      </c>
      <c r="I413" s="10">
        <f t="shared" si="36"/>
        <v>16905.9198631987</v>
      </c>
      <c r="J413" s="12">
        <f t="shared" si="37"/>
        <v>0.336315744871464</v>
      </c>
      <c r="K413" s="3" t="b">
        <f t="shared" si="38"/>
        <v>1</v>
      </c>
      <c r="L413" s="3" t="b">
        <f t="shared" si="39"/>
        <v>0</v>
      </c>
      <c r="M413" s="3" t="str">
        <f t="shared" si="40"/>
        <v>Not Eligible</v>
      </c>
      <c r="N413" s="3" t="str">
        <f t="shared" si="41"/>
        <v>Credit score below 700</v>
      </c>
      <c r="O413" s="3" t="s">
        <v>85</v>
      </c>
    </row>
    <row r="414" customHeight="1" spans="1:15">
      <c r="A414" s="3" t="s">
        <v>880</v>
      </c>
      <c r="B414" s="3" t="s">
        <v>881</v>
      </c>
      <c r="C414" s="10">
        <v>38644</v>
      </c>
      <c r="D414" s="10">
        <v>4249</v>
      </c>
      <c r="E414" s="10">
        <v>980000</v>
      </c>
      <c r="F414" s="10">
        <v>60</v>
      </c>
      <c r="G414" s="16">
        <v>10.22</v>
      </c>
      <c r="H414" s="10">
        <v>767</v>
      </c>
      <c r="I414" s="10">
        <f t="shared" si="36"/>
        <v>20928.3463773533</v>
      </c>
      <c r="J414" s="12">
        <f t="shared" si="37"/>
        <v>0.651520194010798</v>
      </c>
      <c r="K414" s="3" t="b">
        <f t="shared" si="38"/>
        <v>0</v>
      </c>
      <c r="L414" s="3" t="b">
        <f t="shared" si="39"/>
        <v>1</v>
      </c>
      <c r="M414" s="3" t="str">
        <f t="shared" si="40"/>
        <v>Not Eligible</v>
      </c>
      <c r="N414" s="3" t="str">
        <f t="shared" si="41"/>
        <v>FOIR exceeds 50%</v>
      </c>
      <c r="O414" s="3" t="s">
        <v>85</v>
      </c>
    </row>
    <row r="415" customHeight="1" spans="1:15">
      <c r="A415" s="3" t="s">
        <v>882</v>
      </c>
      <c r="B415" s="3" t="s">
        <v>883</v>
      </c>
      <c r="C415" s="10">
        <v>20020</v>
      </c>
      <c r="D415" s="10">
        <v>0</v>
      </c>
      <c r="E415" s="10">
        <v>260000</v>
      </c>
      <c r="F415" s="10">
        <v>48</v>
      </c>
      <c r="G415" s="16">
        <v>11.23</v>
      </c>
      <c r="H415" s="10">
        <v>737</v>
      </c>
      <c r="I415" s="10">
        <f t="shared" si="36"/>
        <v>6748.91350735374</v>
      </c>
      <c r="J415" s="12">
        <f t="shared" si="37"/>
        <v>0.337108566800886</v>
      </c>
      <c r="K415" s="3" t="b">
        <f t="shared" si="38"/>
        <v>1</v>
      </c>
      <c r="L415" s="3" t="b">
        <f t="shared" si="39"/>
        <v>1</v>
      </c>
      <c r="M415" s="3" t="str">
        <f t="shared" si="40"/>
        <v>Eligible</v>
      </c>
      <c r="N415" s="3" t="str">
        <f t="shared" si="41"/>
        <v/>
      </c>
      <c r="O415" s="3" t="s">
        <v>85</v>
      </c>
    </row>
    <row r="416" customHeight="1" spans="1:15">
      <c r="A416" s="3" t="s">
        <v>884</v>
      </c>
      <c r="B416" s="3" t="s">
        <v>885</v>
      </c>
      <c r="C416" s="10">
        <v>42742</v>
      </c>
      <c r="D416" s="10">
        <v>7689</v>
      </c>
      <c r="E416" s="10">
        <v>140000</v>
      </c>
      <c r="F416" s="10">
        <v>36</v>
      </c>
      <c r="G416" s="16">
        <v>14.57</v>
      </c>
      <c r="H416" s="10">
        <v>682</v>
      </c>
      <c r="I416" s="10">
        <f t="shared" si="36"/>
        <v>4823.7176724311</v>
      </c>
      <c r="J416" s="12">
        <f t="shared" si="37"/>
        <v>0.292749933845658</v>
      </c>
      <c r="K416" s="3" t="b">
        <f t="shared" si="38"/>
        <v>1</v>
      </c>
      <c r="L416" s="3" t="b">
        <f t="shared" si="39"/>
        <v>0</v>
      </c>
      <c r="M416" s="3" t="str">
        <f t="shared" si="40"/>
        <v>Not Eligible</v>
      </c>
      <c r="N416" s="3" t="str">
        <f t="shared" si="41"/>
        <v>Credit score below 700</v>
      </c>
      <c r="O416" s="3" t="s">
        <v>85</v>
      </c>
    </row>
    <row r="417" customHeight="1" spans="1:15">
      <c r="A417" s="3" t="s">
        <v>886</v>
      </c>
      <c r="B417" s="3" t="s">
        <v>887</v>
      </c>
      <c r="C417" s="10">
        <v>51738</v>
      </c>
      <c r="D417" s="10">
        <v>11323</v>
      </c>
      <c r="E417" s="10">
        <v>410000</v>
      </c>
      <c r="F417" s="10">
        <v>84</v>
      </c>
      <c r="G417" s="16">
        <v>10.83</v>
      </c>
      <c r="H417" s="10">
        <v>740</v>
      </c>
      <c r="I417" s="10">
        <f t="shared" si="36"/>
        <v>6983.60484885688</v>
      </c>
      <c r="J417" s="12">
        <f t="shared" si="37"/>
        <v>0.353832866536335</v>
      </c>
      <c r="K417" s="3" t="b">
        <f t="shared" si="38"/>
        <v>1</v>
      </c>
      <c r="L417" s="3" t="b">
        <f t="shared" si="39"/>
        <v>1</v>
      </c>
      <c r="M417" s="3" t="str">
        <f t="shared" si="40"/>
        <v>Eligible</v>
      </c>
      <c r="N417" s="3" t="str">
        <f t="shared" si="41"/>
        <v/>
      </c>
      <c r="O417" s="3" t="s">
        <v>85</v>
      </c>
    </row>
    <row r="418" customHeight="1" spans="1:15">
      <c r="A418" s="3" t="s">
        <v>888</v>
      </c>
      <c r="B418" s="3" t="s">
        <v>889</v>
      </c>
      <c r="C418" s="10">
        <v>47003</v>
      </c>
      <c r="D418" s="10">
        <v>1658</v>
      </c>
      <c r="E418" s="10">
        <v>1550000</v>
      </c>
      <c r="F418" s="10">
        <v>60</v>
      </c>
      <c r="G418" s="16">
        <v>13.89</v>
      </c>
      <c r="H418" s="10">
        <v>638</v>
      </c>
      <c r="I418" s="10">
        <f t="shared" si="36"/>
        <v>35977.4562534603</v>
      </c>
      <c r="J418" s="12">
        <f t="shared" si="37"/>
        <v>0.800703279651518</v>
      </c>
      <c r="K418" s="3" t="b">
        <f t="shared" si="38"/>
        <v>0</v>
      </c>
      <c r="L418" s="3" t="b">
        <f t="shared" si="39"/>
        <v>0</v>
      </c>
      <c r="M418" s="3" t="str">
        <f t="shared" si="40"/>
        <v>Not Eligible</v>
      </c>
      <c r="N418" s="3" t="str">
        <f t="shared" si="41"/>
        <v>FOIR exceeds 50% and credit score below 700</v>
      </c>
      <c r="O418" s="3" t="s">
        <v>85</v>
      </c>
    </row>
    <row r="419" customHeight="1" spans="1:15">
      <c r="A419" s="3" t="s">
        <v>890</v>
      </c>
      <c r="B419" s="3" t="s">
        <v>127</v>
      </c>
      <c r="C419" s="10">
        <v>36062</v>
      </c>
      <c r="D419" s="10">
        <v>4787</v>
      </c>
      <c r="E419" s="10">
        <v>3630000</v>
      </c>
      <c r="F419" s="10">
        <v>240</v>
      </c>
      <c r="G419" s="16">
        <v>8.77</v>
      </c>
      <c r="H419" s="10">
        <v>736</v>
      </c>
      <c r="I419" s="10">
        <f t="shared" si="36"/>
        <v>32125.0373539475</v>
      </c>
      <c r="J419" s="12">
        <f t="shared" si="37"/>
        <v>1.02357155326791</v>
      </c>
      <c r="K419" s="3" t="b">
        <f t="shared" si="38"/>
        <v>0</v>
      </c>
      <c r="L419" s="3" t="b">
        <f t="shared" si="39"/>
        <v>1</v>
      </c>
      <c r="M419" s="3" t="str">
        <f t="shared" si="40"/>
        <v>Not Eligible</v>
      </c>
      <c r="N419" s="3" t="str">
        <f t="shared" si="41"/>
        <v>FOIR exceeds 50%</v>
      </c>
      <c r="O419" s="3" t="s">
        <v>85</v>
      </c>
    </row>
    <row r="420" customHeight="1" spans="1:15">
      <c r="A420" s="3" t="s">
        <v>891</v>
      </c>
      <c r="B420" s="3" t="s">
        <v>892</v>
      </c>
      <c r="C420" s="10">
        <v>67184</v>
      </c>
      <c r="D420" s="10">
        <v>20541</v>
      </c>
      <c r="E420" s="10">
        <v>990000</v>
      </c>
      <c r="F420" s="10">
        <v>60</v>
      </c>
      <c r="G420" s="16">
        <v>10.4</v>
      </c>
      <c r="H420" s="10">
        <v>819</v>
      </c>
      <c r="I420" s="10">
        <f t="shared" si="36"/>
        <v>21229.9517551658</v>
      </c>
      <c r="J420" s="12">
        <f t="shared" si="37"/>
        <v>0.62173957720835</v>
      </c>
      <c r="K420" s="3" t="b">
        <f t="shared" si="38"/>
        <v>0</v>
      </c>
      <c r="L420" s="3" t="b">
        <f t="shared" si="39"/>
        <v>1</v>
      </c>
      <c r="M420" s="3" t="str">
        <f t="shared" si="40"/>
        <v>Not Eligible</v>
      </c>
      <c r="N420" s="3" t="str">
        <f t="shared" si="41"/>
        <v>FOIR exceeds 50%</v>
      </c>
      <c r="O420" s="3" t="s">
        <v>85</v>
      </c>
    </row>
    <row r="421" customHeight="1" spans="1:15">
      <c r="A421" s="3" t="s">
        <v>893</v>
      </c>
      <c r="B421" s="3" t="s">
        <v>894</v>
      </c>
      <c r="C421" s="10">
        <v>75492</v>
      </c>
      <c r="D421" s="10">
        <v>21550</v>
      </c>
      <c r="E421" s="10">
        <v>1210000</v>
      </c>
      <c r="F421" s="10">
        <v>84</v>
      </c>
      <c r="G421" s="16">
        <v>10.65</v>
      </c>
      <c r="H421" s="10">
        <v>744</v>
      </c>
      <c r="I421" s="10">
        <f t="shared" si="36"/>
        <v>20496.1463590653</v>
      </c>
      <c r="J421" s="12">
        <f t="shared" si="37"/>
        <v>0.556961616582754</v>
      </c>
      <c r="K421" s="3" t="b">
        <f t="shared" si="38"/>
        <v>0</v>
      </c>
      <c r="L421" s="3" t="b">
        <f t="shared" si="39"/>
        <v>1</v>
      </c>
      <c r="M421" s="3" t="str">
        <f t="shared" si="40"/>
        <v>Not Eligible</v>
      </c>
      <c r="N421" s="3" t="str">
        <f t="shared" si="41"/>
        <v>FOIR exceeds 50%</v>
      </c>
      <c r="O421" s="3" t="s">
        <v>85</v>
      </c>
    </row>
    <row r="422" customHeight="1" spans="1:15">
      <c r="A422" s="3" t="s">
        <v>895</v>
      </c>
      <c r="B422" s="3" t="s">
        <v>896</v>
      </c>
      <c r="C422" s="10">
        <v>31343</v>
      </c>
      <c r="D422" s="10">
        <v>0</v>
      </c>
      <c r="E422" s="10">
        <v>110000</v>
      </c>
      <c r="F422" s="10">
        <v>36</v>
      </c>
      <c r="G422" s="16">
        <v>13.59</v>
      </c>
      <c r="H422" s="10">
        <v>723</v>
      </c>
      <c r="I422" s="10">
        <f t="shared" si="36"/>
        <v>3737.67181665353</v>
      </c>
      <c r="J422" s="12">
        <f t="shared" si="37"/>
        <v>0.119250608322545</v>
      </c>
      <c r="K422" s="3" t="b">
        <f t="shared" si="38"/>
        <v>1</v>
      </c>
      <c r="L422" s="3" t="b">
        <f t="shared" si="39"/>
        <v>1</v>
      </c>
      <c r="M422" s="3" t="str">
        <f t="shared" si="40"/>
        <v>Eligible</v>
      </c>
      <c r="N422" s="3" t="str">
        <f t="shared" si="41"/>
        <v/>
      </c>
      <c r="O422" s="3" t="s">
        <v>85</v>
      </c>
    </row>
    <row r="423" customHeight="1" spans="1:15">
      <c r="A423" s="3" t="s">
        <v>897</v>
      </c>
      <c r="B423" s="3" t="s">
        <v>399</v>
      </c>
      <c r="C423" s="10">
        <v>107940</v>
      </c>
      <c r="D423" s="10">
        <v>2395</v>
      </c>
      <c r="E423" s="10">
        <v>670000</v>
      </c>
      <c r="F423" s="10">
        <v>60</v>
      </c>
      <c r="G423" s="16">
        <v>9.4</v>
      </c>
      <c r="H423" s="10">
        <v>800</v>
      </c>
      <c r="I423" s="10">
        <f t="shared" si="36"/>
        <v>14038.5272519456</v>
      </c>
      <c r="J423" s="12">
        <f t="shared" si="37"/>
        <v>0.152246870964847</v>
      </c>
      <c r="K423" s="3" t="b">
        <f t="shared" si="38"/>
        <v>1</v>
      </c>
      <c r="L423" s="3" t="b">
        <f t="shared" si="39"/>
        <v>1</v>
      </c>
      <c r="M423" s="3" t="str">
        <f t="shared" si="40"/>
        <v>Eligible</v>
      </c>
      <c r="N423" s="3" t="str">
        <f t="shared" si="41"/>
        <v/>
      </c>
      <c r="O423" s="3" t="s">
        <v>85</v>
      </c>
    </row>
    <row r="424" customHeight="1" spans="1:15">
      <c r="A424" s="3" t="s">
        <v>898</v>
      </c>
      <c r="B424" s="3" t="s">
        <v>899</v>
      </c>
      <c r="C424" s="10">
        <v>53873</v>
      </c>
      <c r="D424" s="10">
        <v>8813</v>
      </c>
      <c r="E424" s="10">
        <v>1020000</v>
      </c>
      <c r="F424" s="10">
        <v>84</v>
      </c>
      <c r="G424" s="16">
        <v>10.92</v>
      </c>
      <c r="H424" s="10">
        <v>695</v>
      </c>
      <c r="I424" s="10">
        <f t="shared" si="36"/>
        <v>17422.0100587834</v>
      </c>
      <c r="J424" s="12">
        <f t="shared" si="37"/>
        <v>0.486978821650611</v>
      </c>
      <c r="K424" s="3" t="b">
        <f t="shared" si="38"/>
        <v>1</v>
      </c>
      <c r="L424" s="3" t="b">
        <f t="shared" si="39"/>
        <v>0</v>
      </c>
      <c r="M424" s="3" t="str">
        <f t="shared" si="40"/>
        <v>Not Eligible</v>
      </c>
      <c r="N424" s="3" t="str">
        <f t="shared" si="41"/>
        <v>Credit score below 700</v>
      </c>
      <c r="O424" s="3" t="s">
        <v>85</v>
      </c>
    </row>
    <row r="425" customHeight="1" spans="1:15">
      <c r="A425" s="3" t="s">
        <v>900</v>
      </c>
      <c r="B425" s="3" t="s">
        <v>901</v>
      </c>
      <c r="C425" s="10">
        <v>124836</v>
      </c>
      <c r="D425" s="10">
        <v>0</v>
      </c>
      <c r="E425" s="10">
        <v>790000</v>
      </c>
      <c r="F425" s="10">
        <v>84</v>
      </c>
      <c r="G425" s="16">
        <v>11.5</v>
      </c>
      <c r="H425" s="10">
        <v>692</v>
      </c>
      <c r="I425" s="10">
        <f t="shared" si="36"/>
        <v>13735.3040479898</v>
      </c>
      <c r="J425" s="12">
        <f t="shared" si="37"/>
        <v>0.110026787529156</v>
      </c>
      <c r="K425" s="3" t="b">
        <f t="shared" si="38"/>
        <v>1</v>
      </c>
      <c r="L425" s="3" t="b">
        <f t="shared" si="39"/>
        <v>0</v>
      </c>
      <c r="M425" s="3" t="str">
        <f t="shared" si="40"/>
        <v>Not Eligible</v>
      </c>
      <c r="N425" s="3" t="str">
        <f t="shared" si="41"/>
        <v>Credit score below 700</v>
      </c>
      <c r="O425" s="3" t="s">
        <v>85</v>
      </c>
    </row>
    <row r="426" customHeight="1" spans="1:15">
      <c r="A426" s="3" t="s">
        <v>902</v>
      </c>
      <c r="B426" s="3" t="s">
        <v>903</v>
      </c>
      <c r="C426" s="10">
        <v>122661</v>
      </c>
      <c r="D426" s="10">
        <v>0</v>
      </c>
      <c r="E426" s="10">
        <v>380000</v>
      </c>
      <c r="F426" s="10">
        <v>60</v>
      </c>
      <c r="G426" s="16">
        <v>14.23</v>
      </c>
      <c r="H426" s="10">
        <v>752</v>
      </c>
      <c r="I426" s="10">
        <f t="shared" si="36"/>
        <v>8887.31204562631</v>
      </c>
      <c r="J426" s="12">
        <f t="shared" si="37"/>
        <v>0.0724542604872479</v>
      </c>
      <c r="K426" s="3" t="b">
        <f t="shared" si="38"/>
        <v>1</v>
      </c>
      <c r="L426" s="3" t="b">
        <f t="shared" si="39"/>
        <v>1</v>
      </c>
      <c r="M426" s="3" t="str">
        <f t="shared" si="40"/>
        <v>Eligible</v>
      </c>
      <c r="N426" s="3" t="str">
        <f t="shared" si="41"/>
        <v/>
      </c>
      <c r="O426" s="3" t="s">
        <v>85</v>
      </c>
    </row>
    <row r="427" customHeight="1" spans="1:15">
      <c r="A427" s="3" t="s">
        <v>904</v>
      </c>
      <c r="B427" s="3" t="s">
        <v>905</v>
      </c>
      <c r="C427" s="10">
        <v>83639</v>
      </c>
      <c r="D427" s="10">
        <v>0</v>
      </c>
      <c r="E427" s="10">
        <v>1480000</v>
      </c>
      <c r="F427" s="10">
        <v>60</v>
      </c>
      <c r="G427" s="16">
        <v>15.18</v>
      </c>
      <c r="H427" s="10">
        <v>680</v>
      </c>
      <c r="I427" s="10">
        <f t="shared" si="36"/>
        <v>35349.0876793666</v>
      </c>
      <c r="J427" s="12">
        <f t="shared" si="37"/>
        <v>0.422638812986365</v>
      </c>
      <c r="K427" s="3" t="b">
        <f t="shared" si="38"/>
        <v>1</v>
      </c>
      <c r="L427" s="3" t="b">
        <f t="shared" si="39"/>
        <v>0</v>
      </c>
      <c r="M427" s="3" t="str">
        <f t="shared" si="40"/>
        <v>Not Eligible</v>
      </c>
      <c r="N427" s="3" t="str">
        <f t="shared" si="41"/>
        <v>Credit score below 700</v>
      </c>
      <c r="O427" s="3" t="s">
        <v>85</v>
      </c>
    </row>
    <row r="428" customHeight="1" spans="1:15">
      <c r="A428" s="3" t="s">
        <v>906</v>
      </c>
      <c r="B428" s="3" t="s">
        <v>907</v>
      </c>
      <c r="C428" s="10">
        <v>157070</v>
      </c>
      <c r="D428" s="10">
        <v>20415</v>
      </c>
      <c r="E428" s="10">
        <v>780000</v>
      </c>
      <c r="F428" s="10">
        <v>48</v>
      </c>
      <c r="G428" s="16">
        <v>10.8</v>
      </c>
      <c r="H428" s="10">
        <v>711</v>
      </c>
      <c r="I428" s="10">
        <f t="shared" si="36"/>
        <v>20083.8331818353</v>
      </c>
      <c r="J428" s="12">
        <f t="shared" si="37"/>
        <v>0.257839391238526</v>
      </c>
      <c r="K428" s="3" t="b">
        <f t="shared" si="38"/>
        <v>1</v>
      </c>
      <c r="L428" s="3" t="b">
        <f t="shared" si="39"/>
        <v>1</v>
      </c>
      <c r="M428" s="3" t="str">
        <f t="shared" si="40"/>
        <v>Eligible</v>
      </c>
      <c r="N428" s="3" t="str">
        <f t="shared" si="41"/>
        <v/>
      </c>
      <c r="O428" s="3" t="s">
        <v>85</v>
      </c>
    </row>
    <row r="429" customHeight="1" spans="1:15">
      <c r="A429" s="3" t="s">
        <v>908</v>
      </c>
      <c r="B429" s="3" t="s">
        <v>909</v>
      </c>
      <c r="C429" s="10">
        <v>25965</v>
      </c>
      <c r="D429" s="10">
        <v>5583</v>
      </c>
      <c r="E429" s="10">
        <v>1090000</v>
      </c>
      <c r="F429" s="10">
        <v>84</v>
      </c>
      <c r="G429" s="16">
        <v>10.17</v>
      </c>
      <c r="H429" s="10">
        <v>759</v>
      </c>
      <c r="I429" s="10">
        <f t="shared" si="36"/>
        <v>18191.1782682343</v>
      </c>
      <c r="J429" s="12">
        <f t="shared" si="37"/>
        <v>0.915624042681854</v>
      </c>
      <c r="K429" s="3" t="b">
        <f t="shared" si="38"/>
        <v>0</v>
      </c>
      <c r="L429" s="3" t="b">
        <f t="shared" si="39"/>
        <v>1</v>
      </c>
      <c r="M429" s="3" t="str">
        <f t="shared" si="40"/>
        <v>Not Eligible</v>
      </c>
      <c r="N429" s="3" t="str">
        <f t="shared" si="41"/>
        <v>FOIR exceeds 50%</v>
      </c>
      <c r="O429" s="3" t="s">
        <v>85</v>
      </c>
    </row>
    <row r="430" customHeight="1" spans="1:15">
      <c r="A430" s="3" t="s">
        <v>910</v>
      </c>
      <c r="B430" s="3" t="s">
        <v>911</v>
      </c>
      <c r="C430" s="10">
        <v>106297</v>
      </c>
      <c r="D430" s="10">
        <v>0</v>
      </c>
      <c r="E430" s="10">
        <v>490000</v>
      </c>
      <c r="F430" s="10">
        <v>60</v>
      </c>
      <c r="G430" s="16">
        <v>9.44</v>
      </c>
      <c r="H430" s="10">
        <v>773</v>
      </c>
      <c r="I430" s="10">
        <f t="shared" si="36"/>
        <v>10276.5504406304</v>
      </c>
      <c r="J430" s="12">
        <f t="shared" si="37"/>
        <v>0.0966777090663936</v>
      </c>
      <c r="K430" s="3" t="b">
        <f t="shared" si="38"/>
        <v>1</v>
      </c>
      <c r="L430" s="3" t="b">
        <f t="shared" si="39"/>
        <v>1</v>
      </c>
      <c r="M430" s="3" t="str">
        <f t="shared" si="40"/>
        <v>Eligible</v>
      </c>
      <c r="N430" s="3" t="str">
        <f t="shared" si="41"/>
        <v/>
      </c>
      <c r="O430" s="3" t="s">
        <v>85</v>
      </c>
    </row>
    <row r="431" customHeight="1" spans="1:15">
      <c r="A431" s="3" t="s">
        <v>912</v>
      </c>
      <c r="B431" s="3" t="s">
        <v>270</v>
      </c>
      <c r="C431" s="10">
        <v>61551</v>
      </c>
      <c r="D431" s="10">
        <v>0</v>
      </c>
      <c r="E431" s="10">
        <v>1050000</v>
      </c>
      <c r="F431" s="10">
        <v>60</v>
      </c>
      <c r="G431" s="16">
        <v>9.6</v>
      </c>
      <c r="H431" s="10">
        <v>745</v>
      </c>
      <c r="I431" s="10">
        <f t="shared" si="36"/>
        <v>22103.3021617638</v>
      </c>
      <c r="J431" s="12">
        <f t="shared" si="37"/>
        <v>0.359105492384588</v>
      </c>
      <c r="K431" s="3" t="b">
        <f t="shared" si="38"/>
        <v>1</v>
      </c>
      <c r="L431" s="3" t="b">
        <f t="shared" si="39"/>
        <v>1</v>
      </c>
      <c r="M431" s="3" t="str">
        <f t="shared" si="40"/>
        <v>Eligible</v>
      </c>
      <c r="N431" s="3" t="str">
        <f t="shared" si="41"/>
        <v/>
      </c>
      <c r="O431" s="3" t="s">
        <v>85</v>
      </c>
    </row>
    <row r="432" customHeight="1" spans="1:15">
      <c r="A432" s="3" t="s">
        <v>913</v>
      </c>
      <c r="B432" s="3" t="s">
        <v>914</v>
      </c>
      <c r="C432" s="10">
        <v>22328</v>
      </c>
      <c r="D432" s="10">
        <v>0</v>
      </c>
      <c r="E432" s="10">
        <v>1500000</v>
      </c>
      <c r="F432" s="10">
        <v>60</v>
      </c>
      <c r="G432" s="16">
        <v>15.05</v>
      </c>
      <c r="H432" s="10">
        <v>720</v>
      </c>
      <c r="I432" s="10">
        <f t="shared" si="36"/>
        <v>35724.2756393908</v>
      </c>
      <c r="J432" s="12">
        <f t="shared" si="37"/>
        <v>1.59997651555853</v>
      </c>
      <c r="K432" s="3" t="b">
        <f t="shared" si="38"/>
        <v>0</v>
      </c>
      <c r="L432" s="3" t="b">
        <f t="shared" si="39"/>
        <v>1</v>
      </c>
      <c r="M432" s="3" t="str">
        <f t="shared" si="40"/>
        <v>Not Eligible</v>
      </c>
      <c r="N432" s="3" t="str">
        <f t="shared" si="41"/>
        <v>FOIR exceeds 50%</v>
      </c>
      <c r="O432" s="3" t="s">
        <v>85</v>
      </c>
    </row>
    <row r="433" customHeight="1" spans="1:15">
      <c r="A433" s="3" t="s">
        <v>915</v>
      </c>
      <c r="B433" s="3" t="s">
        <v>916</v>
      </c>
      <c r="C433" s="10">
        <v>61179</v>
      </c>
      <c r="D433" s="10">
        <v>1615</v>
      </c>
      <c r="E433" s="10">
        <v>100000</v>
      </c>
      <c r="F433" s="10">
        <v>36</v>
      </c>
      <c r="G433" s="16">
        <v>14.14</v>
      </c>
      <c r="H433" s="10">
        <v>687</v>
      </c>
      <c r="I433" s="10">
        <f t="shared" si="36"/>
        <v>3424.56658599619</v>
      </c>
      <c r="J433" s="12">
        <f t="shared" si="37"/>
        <v>0.0823741248793899</v>
      </c>
      <c r="K433" s="3" t="b">
        <f t="shared" si="38"/>
        <v>1</v>
      </c>
      <c r="L433" s="3" t="b">
        <f t="shared" si="39"/>
        <v>0</v>
      </c>
      <c r="M433" s="3" t="str">
        <f t="shared" si="40"/>
        <v>Not Eligible</v>
      </c>
      <c r="N433" s="3" t="str">
        <f t="shared" si="41"/>
        <v>Credit score below 700</v>
      </c>
      <c r="O433" s="3" t="s">
        <v>85</v>
      </c>
    </row>
    <row r="434" customHeight="1" spans="1:15">
      <c r="A434" s="3" t="s">
        <v>917</v>
      </c>
      <c r="B434" s="3" t="s">
        <v>889</v>
      </c>
      <c r="C434" s="10">
        <v>51562</v>
      </c>
      <c r="D434" s="10">
        <v>7518</v>
      </c>
      <c r="E434" s="10">
        <v>1300000</v>
      </c>
      <c r="F434" s="10">
        <v>60</v>
      </c>
      <c r="G434" s="16">
        <v>14.92</v>
      </c>
      <c r="H434" s="10">
        <v>630</v>
      </c>
      <c r="I434" s="10">
        <f t="shared" si="36"/>
        <v>30872.3450641518</v>
      </c>
      <c r="J434" s="12">
        <f t="shared" si="37"/>
        <v>0.744547245338657</v>
      </c>
      <c r="K434" s="3" t="b">
        <f t="shared" si="38"/>
        <v>0</v>
      </c>
      <c r="L434" s="3" t="b">
        <f t="shared" si="39"/>
        <v>0</v>
      </c>
      <c r="M434" s="3" t="str">
        <f t="shared" si="40"/>
        <v>Not Eligible</v>
      </c>
      <c r="N434" s="3" t="str">
        <f t="shared" si="41"/>
        <v>FOIR exceeds 50% and credit score below 700</v>
      </c>
      <c r="O434" s="3" t="s">
        <v>85</v>
      </c>
    </row>
    <row r="435" customHeight="1" spans="1:15">
      <c r="A435" s="3" t="s">
        <v>918</v>
      </c>
      <c r="B435" s="3" t="s">
        <v>919</v>
      </c>
      <c r="C435" s="10">
        <v>81795</v>
      </c>
      <c r="D435" s="10">
        <v>31287</v>
      </c>
      <c r="E435" s="10">
        <v>950000</v>
      </c>
      <c r="F435" s="10">
        <v>84</v>
      </c>
      <c r="G435" s="16">
        <v>10.96</v>
      </c>
      <c r="H435" s="10">
        <v>756</v>
      </c>
      <c r="I435" s="10">
        <f t="shared" si="36"/>
        <v>16246.3413882436</v>
      </c>
      <c r="J435" s="12">
        <f t="shared" si="37"/>
        <v>0.581127714264241</v>
      </c>
      <c r="K435" s="3" t="b">
        <f t="shared" si="38"/>
        <v>0</v>
      </c>
      <c r="L435" s="3" t="b">
        <f t="shared" si="39"/>
        <v>1</v>
      </c>
      <c r="M435" s="3" t="str">
        <f t="shared" si="40"/>
        <v>Not Eligible</v>
      </c>
      <c r="N435" s="3" t="str">
        <f t="shared" si="41"/>
        <v>FOIR exceeds 50%</v>
      </c>
      <c r="O435" s="3" t="s">
        <v>85</v>
      </c>
    </row>
    <row r="436" customHeight="1" spans="1:15">
      <c r="A436" s="3" t="s">
        <v>920</v>
      </c>
      <c r="B436" s="3" t="s">
        <v>865</v>
      </c>
      <c r="C436" s="10">
        <v>127530</v>
      </c>
      <c r="D436" s="10">
        <v>22061</v>
      </c>
      <c r="E436" s="10">
        <v>1010000</v>
      </c>
      <c r="F436" s="10">
        <v>60</v>
      </c>
      <c r="G436" s="16">
        <v>9.48</v>
      </c>
      <c r="H436" s="10">
        <v>638</v>
      </c>
      <c r="I436" s="10">
        <f t="shared" si="36"/>
        <v>21202.0097171602</v>
      </c>
      <c r="J436" s="12">
        <f t="shared" si="37"/>
        <v>0.339237902588883</v>
      </c>
      <c r="K436" s="3" t="b">
        <f t="shared" si="38"/>
        <v>1</v>
      </c>
      <c r="L436" s="3" t="b">
        <f t="shared" si="39"/>
        <v>0</v>
      </c>
      <c r="M436" s="3" t="str">
        <f t="shared" si="40"/>
        <v>Not Eligible</v>
      </c>
      <c r="N436" s="3" t="str">
        <f t="shared" si="41"/>
        <v>Credit score below 700</v>
      </c>
      <c r="O436" s="3" t="s">
        <v>85</v>
      </c>
    </row>
    <row r="437" customHeight="1" spans="1:15">
      <c r="A437" s="3" t="s">
        <v>921</v>
      </c>
      <c r="B437" s="3" t="s">
        <v>535</v>
      </c>
      <c r="C437" s="10">
        <v>172262</v>
      </c>
      <c r="D437" s="10">
        <v>64692</v>
      </c>
      <c r="E437" s="10">
        <v>290000</v>
      </c>
      <c r="F437" s="10">
        <v>60</v>
      </c>
      <c r="G437" s="16">
        <v>9.76</v>
      </c>
      <c r="H437" s="10">
        <v>653</v>
      </c>
      <c r="I437" s="10">
        <f t="shared" si="36"/>
        <v>6127.45282266686</v>
      </c>
      <c r="J437" s="12">
        <f t="shared" si="37"/>
        <v>0.411114771816575</v>
      </c>
      <c r="K437" s="3" t="b">
        <f t="shared" si="38"/>
        <v>1</v>
      </c>
      <c r="L437" s="3" t="b">
        <f t="shared" si="39"/>
        <v>0</v>
      </c>
      <c r="M437" s="3" t="str">
        <f t="shared" si="40"/>
        <v>Not Eligible</v>
      </c>
      <c r="N437" s="3" t="str">
        <f t="shared" si="41"/>
        <v>Credit score below 700</v>
      </c>
      <c r="O437" s="3" t="s">
        <v>85</v>
      </c>
    </row>
    <row r="438" customHeight="1" spans="1:15">
      <c r="A438" s="3" t="s">
        <v>922</v>
      </c>
      <c r="B438" s="3" t="s">
        <v>568</v>
      </c>
      <c r="C438" s="10">
        <v>59279</v>
      </c>
      <c r="D438" s="10">
        <v>0</v>
      </c>
      <c r="E438" s="10">
        <v>1270000</v>
      </c>
      <c r="F438" s="10">
        <v>240</v>
      </c>
      <c r="G438" s="16">
        <v>9.61</v>
      </c>
      <c r="H438" s="10">
        <v>674</v>
      </c>
      <c r="I438" s="10">
        <f t="shared" si="36"/>
        <v>11929.4409968424</v>
      </c>
      <c r="J438" s="12">
        <f t="shared" si="37"/>
        <v>0.201242277987861</v>
      </c>
      <c r="K438" s="3" t="b">
        <f t="shared" si="38"/>
        <v>1</v>
      </c>
      <c r="L438" s="3" t="b">
        <f t="shared" si="39"/>
        <v>0</v>
      </c>
      <c r="M438" s="3" t="str">
        <f t="shared" si="40"/>
        <v>Not Eligible</v>
      </c>
      <c r="N438" s="3" t="str">
        <f t="shared" si="41"/>
        <v>Credit score below 700</v>
      </c>
      <c r="O438" s="3" t="s">
        <v>85</v>
      </c>
    </row>
    <row r="439" customHeight="1" spans="1:15">
      <c r="A439" s="3" t="s">
        <v>923</v>
      </c>
      <c r="B439" s="3" t="s">
        <v>226</v>
      </c>
      <c r="C439" s="10">
        <v>85304</v>
      </c>
      <c r="D439" s="10">
        <v>0</v>
      </c>
      <c r="E439" s="10">
        <v>670000</v>
      </c>
      <c r="F439" s="10">
        <v>48</v>
      </c>
      <c r="G439" s="16">
        <v>10.62</v>
      </c>
      <c r="H439" s="10">
        <v>661</v>
      </c>
      <c r="I439" s="10">
        <f t="shared" si="36"/>
        <v>17193.118803881</v>
      </c>
      <c r="J439" s="12">
        <f t="shared" si="37"/>
        <v>0.201551144188795</v>
      </c>
      <c r="K439" s="3" t="b">
        <f t="shared" si="38"/>
        <v>1</v>
      </c>
      <c r="L439" s="3" t="b">
        <f t="shared" si="39"/>
        <v>0</v>
      </c>
      <c r="M439" s="3" t="str">
        <f t="shared" si="40"/>
        <v>Not Eligible</v>
      </c>
      <c r="N439" s="3" t="str">
        <f t="shared" si="41"/>
        <v>Credit score below 700</v>
      </c>
      <c r="O439" s="3" t="s">
        <v>85</v>
      </c>
    </row>
    <row r="440" customHeight="1" spans="1:15">
      <c r="A440" s="3" t="s">
        <v>924</v>
      </c>
      <c r="B440" s="3" t="s">
        <v>925</v>
      </c>
      <c r="C440" s="10">
        <v>64063</v>
      </c>
      <c r="D440" s="10">
        <v>9135</v>
      </c>
      <c r="E440" s="10">
        <v>200000</v>
      </c>
      <c r="F440" s="10">
        <v>36</v>
      </c>
      <c r="G440" s="16">
        <v>14.13</v>
      </c>
      <c r="H440" s="10">
        <v>746</v>
      </c>
      <c r="I440" s="10">
        <f t="shared" si="36"/>
        <v>6848.1607051178</v>
      </c>
      <c r="J440" s="12">
        <f t="shared" si="37"/>
        <v>0.249491293025893</v>
      </c>
      <c r="K440" s="3" t="b">
        <f t="shared" si="38"/>
        <v>1</v>
      </c>
      <c r="L440" s="3" t="b">
        <f t="shared" si="39"/>
        <v>1</v>
      </c>
      <c r="M440" s="3" t="str">
        <f t="shared" si="40"/>
        <v>Eligible</v>
      </c>
      <c r="N440" s="3" t="str">
        <f t="shared" si="41"/>
        <v/>
      </c>
      <c r="O440" s="3" t="s">
        <v>85</v>
      </c>
    </row>
    <row r="441" customHeight="1" spans="1:15">
      <c r="A441" s="3" t="s">
        <v>926</v>
      </c>
      <c r="B441" s="3" t="s">
        <v>927</v>
      </c>
      <c r="C441" s="10">
        <v>58084</v>
      </c>
      <c r="D441" s="10">
        <v>22445</v>
      </c>
      <c r="E441" s="10">
        <v>120000</v>
      </c>
      <c r="F441" s="10">
        <v>36</v>
      </c>
      <c r="G441" s="16">
        <v>13.96</v>
      </c>
      <c r="H441" s="10">
        <v>748</v>
      </c>
      <c r="I441" s="10">
        <f t="shared" si="36"/>
        <v>4098.98464148724</v>
      </c>
      <c r="J441" s="12">
        <f t="shared" si="37"/>
        <v>0.45699305560029</v>
      </c>
      <c r="K441" s="3" t="b">
        <f t="shared" si="38"/>
        <v>1</v>
      </c>
      <c r="L441" s="3" t="b">
        <f t="shared" si="39"/>
        <v>1</v>
      </c>
      <c r="M441" s="3" t="str">
        <f t="shared" si="40"/>
        <v>Eligible</v>
      </c>
      <c r="N441" s="3" t="str">
        <f t="shared" si="41"/>
        <v/>
      </c>
      <c r="O441" s="3" t="s">
        <v>85</v>
      </c>
    </row>
    <row r="442" customHeight="1" spans="1:15">
      <c r="A442" s="3" t="s">
        <v>928</v>
      </c>
      <c r="B442" s="3" t="s">
        <v>929</v>
      </c>
      <c r="C442" s="10">
        <v>89388</v>
      </c>
      <c r="D442" s="10">
        <v>23656</v>
      </c>
      <c r="E442" s="10">
        <v>330000</v>
      </c>
      <c r="F442" s="10">
        <v>84</v>
      </c>
      <c r="G442" s="16">
        <v>11.66</v>
      </c>
      <c r="H442" s="10">
        <v>684</v>
      </c>
      <c r="I442" s="10">
        <f t="shared" si="36"/>
        <v>5765.56991128631</v>
      </c>
      <c r="J442" s="12">
        <f t="shared" si="37"/>
        <v>0.329144515049966</v>
      </c>
      <c r="K442" s="3" t="b">
        <f t="shared" si="38"/>
        <v>1</v>
      </c>
      <c r="L442" s="3" t="b">
        <f t="shared" si="39"/>
        <v>0</v>
      </c>
      <c r="M442" s="3" t="str">
        <f t="shared" si="40"/>
        <v>Not Eligible</v>
      </c>
      <c r="N442" s="3" t="str">
        <f t="shared" si="41"/>
        <v>Credit score below 700</v>
      </c>
      <c r="O442" s="3" t="s">
        <v>85</v>
      </c>
    </row>
    <row r="443" customHeight="1" spans="1:15">
      <c r="A443" s="3" t="s">
        <v>930</v>
      </c>
      <c r="B443" s="3" t="s">
        <v>931</v>
      </c>
      <c r="C443" s="10">
        <v>58364</v>
      </c>
      <c r="D443" s="10">
        <v>0</v>
      </c>
      <c r="E443" s="10">
        <v>1390000</v>
      </c>
      <c r="F443" s="10">
        <v>84</v>
      </c>
      <c r="G443" s="16">
        <v>11.53</v>
      </c>
      <c r="H443" s="10">
        <v>702</v>
      </c>
      <c r="I443" s="10">
        <f t="shared" si="36"/>
        <v>24189.2997120991</v>
      </c>
      <c r="J443" s="12">
        <f t="shared" si="37"/>
        <v>0.414455824002794</v>
      </c>
      <c r="K443" s="3" t="b">
        <f t="shared" si="38"/>
        <v>1</v>
      </c>
      <c r="L443" s="3" t="b">
        <f t="shared" si="39"/>
        <v>1</v>
      </c>
      <c r="M443" s="3" t="str">
        <f t="shared" si="40"/>
        <v>Eligible</v>
      </c>
      <c r="N443" s="3" t="str">
        <f t="shared" si="41"/>
        <v/>
      </c>
      <c r="O443" s="3" t="s">
        <v>85</v>
      </c>
    </row>
    <row r="444" customHeight="1" spans="1:15">
      <c r="A444" s="3" t="s">
        <v>932</v>
      </c>
      <c r="B444" s="3" t="s">
        <v>933</v>
      </c>
      <c r="C444" s="10">
        <v>34322</v>
      </c>
      <c r="D444" s="10">
        <v>2066</v>
      </c>
      <c r="E444" s="10">
        <v>310000</v>
      </c>
      <c r="F444" s="10">
        <v>36</v>
      </c>
      <c r="G444" s="16">
        <v>13.16</v>
      </c>
      <c r="H444" s="10">
        <v>703</v>
      </c>
      <c r="I444" s="10">
        <f t="shared" si="36"/>
        <v>10469.0315837998</v>
      </c>
      <c r="J444" s="12">
        <f t="shared" si="37"/>
        <v>0.365218564879662</v>
      </c>
      <c r="K444" s="3" t="b">
        <f t="shared" si="38"/>
        <v>1</v>
      </c>
      <c r="L444" s="3" t="b">
        <f t="shared" si="39"/>
        <v>1</v>
      </c>
      <c r="M444" s="3" t="str">
        <f t="shared" si="40"/>
        <v>Eligible</v>
      </c>
      <c r="N444" s="3" t="str">
        <f t="shared" si="41"/>
        <v/>
      </c>
      <c r="O444" s="3" t="s">
        <v>85</v>
      </c>
    </row>
    <row r="445" customHeight="1" spans="1:15">
      <c r="A445" s="3" t="s">
        <v>934</v>
      </c>
      <c r="B445" s="3" t="s">
        <v>935</v>
      </c>
      <c r="C445" s="10">
        <v>39150</v>
      </c>
      <c r="D445" s="10">
        <v>11302</v>
      </c>
      <c r="E445" s="10">
        <v>1180000</v>
      </c>
      <c r="F445" s="10">
        <v>84</v>
      </c>
      <c r="G445" s="16">
        <v>10.13</v>
      </c>
      <c r="H445" s="10">
        <v>880</v>
      </c>
      <c r="I445" s="10">
        <f t="shared" si="36"/>
        <v>19668.7494203835</v>
      </c>
      <c r="J445" s="12">
        <f t="shared" si="37"/>
        <v>0.791079167825888</v>
      </c>
      <c r="K445" s="3" t="b">
        <f t="shared" si="38"/>
        <v>0</v>
      </c>
      <c r="L445" s="3" t="b">
        <f t="shared" si="39"/>
        <v>1</v>
      </c>
      <c r="M445" s="3" t="str">
        <f t="shared" si="40"/>
        <v>Not Eligible</v>
      </c>
      <c r="N445" s="3" t="str">
        <f t="shared" si="41"/>
        <v>FOIR exceeds 50%</v>
      </c>
      <c r="O445" s="3" t="s">
        <v>85</v>
      </c>
    </row>
    <row r="446" customHeight="1" spans="1:15">
      <c r="A446" s="3" t="s">
        <v>936</v>
      </c>
      <c r="B446" s="3" t="s">
        <v>937</v>
      </c>
      <c r="C446" s="10">
        <v>56603</v>
      </c>
      <c r="D446" s="10">
        <v>0</v>
      </c>
      <c r="E446" s="10">
        <v>240000</v>
      </c>
      <c r="F446" s="10">
        <v>36</v>
      </c>
      <c r="G446" s="16">
        <v>13.99</v>
      </c>
      <c r="H446" s="10">
        <v>830</v>
      </c>
      <c r="I446" s="10">
        <f t="shared" si="36"/>
        <v>8201.46553242172</v>
      </c>
      <c r="J446" s="12">
        <f t="shared" si="37"/>
        <v>0.144894537964803</v>
      </c>
      <c r="K446" s="3" t="b">
        <f t="shared" si="38"/>
        <v>1</v>
      </c>
      <c r="L446" s="3" t="b">
        <f t="shared" si="39"/>
        <v>1</v>
      </c>
      <c r="M446" s="3" t="str">
        <f t="shared" si="40"/>
        <v>Eligible</v>
      </c>
      <c r="N446" s="3" t="str">
        <f t="shared" si="41"/>
        <v/>
      </c>
      <c r="O446" s="3" t="s">
        <v>85</v>
      </c>
    </row>
    <row r="447" customHeight="1" spans="1:15">
      <c r="A447" s="3" t="s">
        <v>938</v>
      </c>
      <c r="B447" s="3" t="s">
        <v>939</v>
      </c>
      <c r="C447" s="10">
        <v>40394</v>
      </c>
      <c r="D447" s="10">
        <v>0</v>
      </c>
      <c r="E447" s="10">
        <v>1170000</v>
      </c>
      <c r="F447" s="10">
        <v>60</v>
      </c>
      <c r="G447" s="16">
        <v>14.8</v>
      </c>
      <c r="H447" s="10">
        <v>653</v>
      </c>
      <c r="I447" s="10">
        <f t="shared" si="36"/>
        <v>27711.539694554</v>
      </c>
      <c r="J447" s="12">
        <f t="shared" si="37"/>
        <v>0.686031086165123</v>
      </c>
      <c r="K447" s="3" t="b">
        <f t="shared" si="38"/>
        <v>0</v>
      </c>
      <c r="L447" s="3" t="b">
        <f t="shared" si="39"/>
        <v>0</v>
      </c>
      <c r="M447" s="3" t="str">
        <f t="shared" si="40"/>
        <v>Not Eligible</v>
      </c>
      <c r="N447" s="3" t="str">
        <f t="shared" si="41"/>
        <v>FOIR exceeds 50% and credit score below 700</v>
      </c>
      <c r="O447" s="3" t="s">
        <v>85</v>
      </c>
    </row>
    <row r="448" customHeight="1" spans="1:15">
      <c r="A448" s="3" t="s">
        <v>940</v>
      </c>
      <c r="B448" s="3" t="s">
        <v>941</v>
      </c>
      <c r="C448" s="10">
        <v>60927</v>
      </c>
      <c r="D448" s="10">
        <v>14722</v>
      </c>
      <c r="E448" s="10">
        <v>700000</v>
      </c>
      <c r="F448" s="10">
        <v>60</v>
      </c>
      <c r="G448" s="16">
        <v>9.19</v>
      </c>
      <c r="H448" s="10">
        <v>635</v>
      </c>
      <c r="I448" s="10">
        <f t="shared" si="36"/>
        <v>14595.4827454033</v>
      </c>
      <c r="J448" s="12">
        <f t="shared" si="37"/>
        <v>0.481190321949271</v>
      </c>
      <c r="K448" s="3" t="b">
        <f t="shared" si="38"/>
        <v>1</v>
      </c>
      <c r="L448" s="3" t="b">
        <f t="shared" si="39"/>
        <v>0</v>
      </c>
      <c r="M448" s="3" t="str">
        <f t="shared" si="40"/>
        <v>Not Eligible</v>
      </c>
      <c r="N448" s="3" t="str">
        <f t="shared" si="41"/>
        <v>Credit score below 700</v>
      </c>
      <c r="O448" s="3" t="s">
        <v>85</v>
      </c>
    </row>
    <row r="449" customHeight="1" spans="1:15">
      <c r="A449" s="3" t="s">
        <v>942</v>
      </c>
      <c r="B449" s="3" t="s">
        <v>943</v>
      </c>
      <c r="C449" s="10">
        <v>45534</v>
      </c>
      <c r="D449" s="10">
        <v>10463</v>
      </c>
      <c r="E449" s="10">
        <v>400000</v>
      </c>
      <c r="F449" s="10">
        <v>36</v>
      </c>
      <c r="G449" s="16">
        <v>13.24</v>
      </c>
      <c r="H449" s="10">
        <v>715</v>
      </c>
      <c r="I449" s="10">
        <f t="shared" si="36"/>
        <v>13523.8668638874</v>
      </c>
      <c r="J449" s="12">
        <f t="shared" si="37"/>
        <v>0.526790241663095</v>
      </c>
      <c r="K449" s="3" t="b">
        <f t="shared" si="38"/>
        <v>0</v>
      </c>
      <c r="L449" s="3" t="b">
        <f t="shared" si="39"/>
        <v>1</v>
      </c>
      <c r="M449" s="3" t="str">
        <f t="shared" si="40"/>
        <v>Not Eligible</v>
      </c>
      <c r="N449" s="3" t="str">
        <f t="shared" si="41"/>
        <v>FOIR exceeds 50%</v>
      </c>
      <c r="O449" s="3" t="s">
        <v>85</v>
      </c>
    </row>
    <row r="450" customHeight="1" spans="1:15">
      <c r="A450" s="3" t="s">
        <v>944</v>
      </c>
      <c r="B450" s="3" t="s">
        <v>945</v>
      </c>
      <c r="C450" s="10">
        <v>33735</v>
      </c>
      <c r="D450" s="10">
        <v>7633</v>
      </c>
      <c r="E450" s="10">
        <v>3620000</v>
      </c>
      <c r="F450" s="10">
        <v>240</v>
      </c>
      <c r="G450" s="16">
        <v>9.63</v>
      </c>
      <c r="H450" s="10">
        <v>677</v>
      </c>
      <c r="I450" s="10">
        <f t="shared" ref="I450:I501" si="42">IF(F450&lt;=0,"",IF(G450=0,E450/F450,E450*(G450/12/100)*(1+G450/12/100)^F450/((1+G450/12/100)^F450-1)))</f>
        <v>34051.0496471383</v>
      </c>
      <c r="J450" s="12">
        <f t="shared" ref="J450:J501" si="43">IF(C450&lt;=0,"",(D450+I450)/C450)</f>
        <v>1.23563212233995</v>
      </c>
      <c r="K450" s="3" t="b">
        <f t="shared" ref="K450:K501" si="44">IF(J450="","",J450&lt;=50%)</f>
        <v>0</v>
      </c>
      <c r="L450" s="3" t="b">
        <f t="shared" ref="L450:L501" si="45">H450&gt;=700</f>
        <v>0</v>
      </c>
      <c r="M450" s="3" t="str">
        <f t="shared" ref="M450:M501" si="46">IF(AND(K450,L450),"Eligible","Not Eligible")</f>
        <v>Not Eligible</v>
      </c>
      <c r="N450" s="3" t="str">
        <f t="shared" ref="N450:N501" si="47">IF(M450="Eligible","",IF(AND(NOT(K450),NOT(L450)),"FOIR exceeds 50% and credit score below 700",IF(NOT(K450),"FOIR exceeds 50%","Credit score below 700")))</f>
        <v>FOIR exceeds 50% and credit score below 700</v>
      </c>
      <c r="O450" s="3" t="s">
        <v>85</v>
      </c>
    </row>
    <row r="451" customHeight="1" spans="1:15">
      <c r="A451" s="3" t="s">
        <v>946</v>
      </c>
      <c r="B451" s="3" t="s">
        <v>947</v>
      </c>
      <c r="C451" s="10">
        <v>53554</v>
      </c>
      <c r="D451" s="10">
        <v>4305</v>
      </c>
      <c r="E451" s="10">
        <v>310000</v>
      </c>
      <c r="F451" s="10">
        <v>48</v>
      </c>
      <c r="G451" s="16">
        <v>11.47</v>
      </c>
      <c r="H451" s="10">
        <v>613</v>
      </c>
      <c r="I451" s="10">
        <f t="shared" si="42"/>
        <v>8083.05218939803</v>
      </c>
      <c r="J451" s="12">
        <f t="shared" si="43"/>
        <v>0.231318896616463</v>
      </c>
      <c r="K451" s="3" t="b">
        <f t="shared" si="44"/>
        <v>1</v>
      </c>
      <c r="L451" s="3" t="b">
        <f t="shared" si="45"/>
        <v>0</v>
      </c>
      <c r="M451" s="3" t="str">
        <f t="shared" si="46"/>
        <v>Not Eligible</v>
      </c>
      <c r="N451" s="3" t="str">
        <f t="shared" si="47"/>
        <v>Credit score below 700</v>
      </c>
      <c r="O451" s="3" t="s">
        <v>85</v>
      </c>
    </row>
    <row r="452" customHeight="1" spans="1:15">
      <c r="A452" s="3" t="s">
        <v>948</v>
      </c>
      <c r="B452" s="3" t="s">
        <v>949</v>
      </c>
      <c r="C452" s="10">
        <v>57113</v>
      </c>
      <c r="D452" s="10">
        <v>4631</v>
      </c>
      <c r="E452" s="10">
        <v>370000</v>
      </c>
      <c r="F452" s="10">
        <v>48</v>
      </c>
      <c r="G452" s="16">
        <v>10.68</v>
      </c>
      <c r="H452" s="10">
        <v>717</v>
      </c>
      <c r="I452" s="10">
        <f t="shared" si="42"/>
        <v>9505.44660135837</v>
      </c>
      <c r="J452" s="12">
        <f t="shared" si="43"/>
        <v>0.24751714323111</v>
      </c>
      <c r="K452" s="3" t="b">
        <f t="shared" si="44"/>
        <v>1</v>
      </c>
      <c r="L452" s="3" t="b">
        <f t="shared" si="45"/>
        <v>1</v>
      </c>
      <c r="M452" s="3" t="str">
        <f t="shared" si="46"/>
        <v>Eligible</v>
      </c>
      <c r="N452" s="3" t="str">
        <f t="shared" si="47"/>
        <v/>
      </c>
      <c r="O452" s="3" t="s">
        <v>85</v>
      </c>
    </row>
    <row r="453" customHeight="1" spans="1:15">
      <c r="A453" s="3" t="s">
        <v>950</v>
      </c>
      <c r="B453" s="3" t="s">
        <v>951</v>
      </c>
      <c r="C453" s="10">
        <v>49640</v>
      </c>
      <c r="D453" s="10">
        <v>19002</v>
      </c>
      <c r="E453" s="10">
        <v>690000</v>
      </c>
      <c r="F453" s="10">
        <v>60</v>
      </c>
      <c r="G453" s="16">
        <v>14.61</v>
      </c>
      <c r="H453" s="10">
        <v>527</v>
      </c>
      <c r="I453" s="10">
        <f t="shared" si="42"/>
        <v>16274.1365918336</v>
      </c>
      <c r="J453" s="12">
        <f t="shared" si="43"/>
        <v>0.710639335049024</v>
      </c>
      <c r="K453" s="3" t="b">
        <f t="shared" si="44"/>
        <v>0</v>
      </c>
      <c r="L453" s="3" t="b">
        <f t="shared" si="45"/>
        <v>0</v>
      </c>
      <c r="M453" s="3" t="str">
        <f t="shared" si="46"/>
        <v>Not Eligible</v>
      </c>
      <c r="N453" s="3" t="str">
        <f t="shared" si="47"/>
        <v>FOIR exceeds 50% and credit score below 700</v>
      </c>
      <c r="O453" s="3" t="s">
        <v>85</v>
      </c>
    </row>
    <row r="454" customHeight="1" spans="1:15">
      <c r="A454" s="3" t="s">
        <v>952</v>
      </c>
      <c r="B454" s="3" t="s">
        <v>953</v>
      </c>
      <c r="C454" s="10">
        <v>73250</v>
      </c>
      <c r="D454" s="10">
        <v>288</v>
      </c>
      <c r="E454" s="10">
        <v>220000</v>
      </c>
      <c r="F454" s="10">
        <v>36</v>
      </c>
      <c r="G454" s="16">
        <v>13.49</v>
      </c>
      <c r="H454" s="10">
        <v>616</v>
      </c>
      <c r="I454" s="10">
        <f t="shared" si="42"/>
        <v>7464.69916473254</v>
      </c>
      <c r="J454" s="12">
        <f t="shared" si="43"/>
        <v>0.105838896446861</v>
      </c>
      <c r="K454" s="3" t="b">
        <f t="shared" si="44"/>
        <v>1</v>
      </c>
      <c r="L454" s="3" t="b">
        <f t="shared" si="45"/>
        <v>0</v>
      </c>
      <c r="M454" s="3" t="str">
        <f t="shared" si="46"/>
        <v>Not Eligible</v>
      </c>
      <c r="N454" s="3" t="str">
        <f t="shared" si="47"/>
        <v>Credit score below 700</v>
      </c>
      <c r="O454" s="3" t="s">
        <v>85</v>
      </c>
    </row>
    <row r="455" customHeight="1" spans="1:15">
      <c r="A455" s="3" t="s">
        <v>954</v>
      </c>
      <c r="B455" s="3" t="s">
        <v>955</v>
      </c>
      <c r="C455" s="10">
        <v>94320</v>
      </c>
      <c r="D455" s="10">
        <v>26569</v>
      </c>
      <c r="E455" s="10">
        <v>1390000</v>
      </c>
      <c r="F455" s="10">
        <v>84</v>
      </c>
      <c r="G455" s="16">
        <v>11.36</v>
      </c>
      <c r="H455" s="10">
        <v>657</v>
      </c>
      <c r="I455" s="10">
        <f t="shared" si="42"/>
        <v>24064.1065160951</v>
      </c>
      <c r="J455" s="12">
        <f t="shared" si="43"/>
        <v>0.536822588168947</v>
      </c>
      <c r="K455" s="3" t="b">
        <f t="shared" si="44"/>
        <v>0</v>
      </c>
      <c r="L455" s="3" t="b">
        <f t="shared" si="45"/>
        <v>0</v>
      </c>
      <c r="M455" s="3" t="str">
        <f t="shared" si="46"/>
        <v>Not Eligible</v>
      </c>
      <c r="N455" s="3" t="str">
        <f t="shared" si="47"/>
        <v>FOIR exceeds 50% and credit score below 700</v>
      </c>
      <c r="O455" s="3" t="s">
        <v>85</v>
      </c>
    </row>
    <row r="456" customHeight="1" spans="1:15">
      <c r="A456" s="3" t="s">
        <v>956</v>
      </c>
      <c r="B456" s="3" t="s">
        <v>957</v>
      </c>
      <c r="C456" s="10">
        <v>122963</v>
      </c>
      <c r="D456" s="10">
        <v>37464</v>
      </c>
      <c r="E456" s="10">
        <v>1620000</v>
      </c>
      <c r="F456" s="10">
        <v>240</v>
      </c>
      <c r="G456" s="16">
        <v>8.34</v>
      </c>
      <c r="H456" s="10">
        <v>664</v>
      </c>
      <c r="I456" s="10">
        <f t="shared" si="42"/>
        <v>13895.117212736</v>
      </c>
      <c r="J456" s="12">
        <f t="shared" si="43"/>
        <v>0.417679441886877</v>
      </c>
      <c r="K456" s="3" t="b">
        <f t="shared" si="44"/>
        <v>1</v>
      </c>
      <c r="L456" s="3" t="b">
        <f t="shared" si="45"/>
        <v>0</v>
      </c>
      <c r="M456" s="3" t="str">
        <f t="shared" si="46"/>
        <v>Not Eligible</v>
      </c>
      <c r="N456" s="3" t="str">
        <f t="shared" si="47"/>
        <v>Credit score below 700</v>
      </c>
      <c r="O456" s="3" t="s">
        <v>85</v>
      </c>
    </row>
    <row r="457" customHeight="1" spans="1:15">
      <c r="A457" s="3" t="s">
        <v>958</v>
      </c>
      <c r="B457" s="3" t="s">
        <v>959</v>
      </c>
      <c r="C457" s="10">
        <v>33246</v>
      </c>
      <c r="D457" s="10">
        <v>14787</v>
      </c>
      <c r="E457" s="10">
        <v>800000</v>
      </c>
      <c r="F457" s="10">
        <v>84</v>
      </c>
      <c r="G457" s="16">
        <v>10.75</v>
      </c>
      <c r="H457" s="10">
        <v>679</v>
      </c>
      <c r="I457" s="10">
        <f t="shared" si="42"/>
        <v>13593.0170618725</v>
      </c>
      <c r="J457" s="12">
        <f t="shared" si="43"/>
        <v>0.853637040903343</v>
      </c>
      <c r="K457" s="3" t="b">
        <f t="shared" si="44"/>
        <v>0</v>
      </c>
      <c r="L457" s="3" t="b">
        <f t="shared" si="45"/>
        <v>0</v>
      </c>
      <c r="M457" s="3" t="str">
        <f t="shared" si="46"/>
        <v>Not Eligible</v>
      </c>
      <c r="N457" s="3" t="str">
        <f t="shared" si="47"/>
        <v>FOIR exceeds 50% and credit score below 700</v>
      </c>
      <c r="O457" s="3" t="s">
        <v>85</v>
      </c>
    </row>
    <row r="458" customHeight="1" spans="1:15">
      <c r="A458" s="3" t="s">
        <v>960</v>
      </c>
      <c r="B458" s="3" t="s">
        <v>961</v>
      </c>
      <c r="C458" s="10">
        <v>87846</v>
      </c>
      <c r="D458" s="10">
        <v>33711</v>
      </c>
      <c r="E458" s="10">
        <v>250000</v>
      </c>
      <c r="F458" s="10">
        <v>36</v>
      </c>
      <c r="G458" s="16">
        <v>14.34</v>
      </c>
      <c r="H458" s="10">
        <v>684</v>
      </c>
      <c r="I458" s="10">
        <f t="shared" si="42"/>
        <v>8585.74923136562</v>
      </c>
      <c r="J458" s="12">
        <f t="shared" si="43"/>
        <v>0.481487480720415</v>
      </c>
      <c r="K458" s="3" t="b">
        <f t="shared" si="44"/>
        <v>1</v>
      </c>
      <c r="L458" s="3" t="b">
        <f t="shared" si="45"/>
        <v>0</v>
      </c>
      <c r="M458" s="3" t="str">
        <f t="shared" si="46"/>
        <v>Not Eligible</v>
      </c>
      <c r="N458" s="3" t="str">
        <f t="shared" si="47"/>
        <v>Credit score below 700</v>
      </c>
      <c r="O458" s="3" t="s">
        <v>85</v>
      </c>
    </row>
    <row r="459" customHeight="1" spans="1:15">
      <c r="A459" s="3" t="s">
        <v>962</v>
      </c>
      <c r="B459" s="3" t="s">
        <v>963</v>
      </c>
      <c r="C459" s="10">
        <v>30319</v>
      </c>
      <c r="D459" s="10">
        <v>0</v>
      </c>
      <c r="E459" s="10">
        <v>410000</v>
      </c>
      <c r="F459" s="10">
        <v>60</v>
      </c>
      <c r="G459" s="16">
        <v>15.08</v>
      </c>
      <c r="H459" s="10">
        <v>679</v>
      </c>
      <c r="I459" s="10">
        <f t="shared" si="42"/>
        <v>9771.09691629499</v>
      </c>
      <c r="J459" s="12">
        <f t="shared" si="43"/>
        <v>0.322276358596754</v>
      </c>
      <c r="K459" s="3" t="b">
        <f t="shared" si="44"/>
        <v>1</v>
      </c>
      <c r="L459" s="3" t="b">
        <f t="shared" si="45"/>
        <v>0</v>
      </c>
      <c r="M459" s="3" t="str">
        <f t="shared" si="46"/>
        <v>Not Eligible</v>
      </c>
      <c r="N459" s="3" t="str">
        <f t="shared" si="47"/>
        <v>Credit score below 700</v>
      </c>
      <c r="O459" s="3" t="s">
        <v>85</v>
      </c>
    </row>
    <row r="460" customHeight="1" spans="1:15">
      <c r="A460" s="3" t="s">
        <v>964</v>
      </c>
      <c r="B460" s="3" t="s">
        <v>965</v>
      </c>
      <c r="C460" s="10">
        <v>47097</v>
      </c>
      <c r="D460" s="10">
        <v>0</v>
      </c>
      <c r="E460" s="10">
        <v>1400000</v>
      </c>
      <c r="F460" s="10">
        <v>60</v>
      </c>
      <c r="G460" s="16">
        <v>13.89</v>
      </c>
      <c r="H460" s="10">
        <v>710</v>
      </c>
      <c r="I460" s="10">
        <f t="shared" si="42"/>
        <v>32495.7669386093</v>
      </c>
      <c r="J460" s="12">
        <f t="shared" si="43"/>
        <v>0.689975304979283</v>
      </c>
      <c r="K460" s="3" t="b">
        <f t="shared" si="44"/>
        <v>0</v>
      </c>
      <c r="L460" s="3" t="b">
        <f t="shared" si="45"/>
        <v>1</v>
      </c>
      <c r="M460" s="3" t="str">
        <f t="shared" si="46"/>
        <v>Not Eligible</v>
      </c>
      <c r="N460" s="3" t="str">
        <f t="shared" si="47"/>
        <v>FOIR exceeds 50%</v>
      </c>
      <c r="O460" s="3" t="s">
        <v>85</v>
      </c>
    </row>
    <row r="461" customHeight="1" spans="1:15">
      <c r="A461" s="3" t="s">
        <v>966</v>
      </c>
      <c r="B461" s="3" t="s">
        <v>967</v>
      </c>
      <c r="C461" s="10">
        <v>33234</v>
      </c>
      <c r="D461" s="10">
        <v>10236</v>
      </c>
      <c r="E461" s="10">
        <v>950000</v>
      </c>
      <c r="F461" s="10">
        <v>60</v>
      </c>
      <c r="G461" s="16">
        <v>9.36</v>
      </c>
      <c r="H461" s="10">
        <v>783</v>
      </c>
      <c r="I461" s="10">
        <f t="shared" si="42"/>
        <v>19886.8348039539</v>
      </c>
      <c r="J461" s="12">
        <f t="shared" si="43"/>
        <v>0.906386074620987</v>
      </c>
      <c r="K461" s="3" t="b">
        <f t="shared" si="44"/>
        <v>0</v>
      </c>
      <c r="L461" s="3" t="b">
        <f t="shared" si="45"/>
        <v>1</v>
      </c>
      <c r="M461" s="3" t="str">
        <f t="shared" si="46"/>
        <v>Not Eligible</v>
      </c>
      <c r="N461" s="3" t="str">
        <f t="shared" si="47"/>
        <v>FOIR exceeds 50%</v>
      </c>
      <c r="O461" s="3" t="s">
        <v>85</v>
      </c>
    </row>
    <row r="462" customHeight="1" spans="1:15">
      <c r="A462" s="3" t="s">
        <v>968</v>
      </c>
      <c r="B462" s="3" t="s">
        <v>969</v>
      </c>
      <c r="C462" s="10">
        <v>154015</v>
      </c>
      <c r="D462" s="10">
        <v>0</v>
      </c>
      <c r="E462" s="10">
        <v>900000</v>
      </c>
      <c r="F462" s="10">
        <v>84</v>
      </c>
      <c r="G462" s="16">
        <v>10.93</v>
      </c>
      <c r="H462" s="10">
        <v>585</v>
      </c>
      <c r="I462" s="10">
        <f t="shared" si="42"/>
        <v>15377.0878377255</v>
      </c>
      <c r="J462" s="12">
        <f t="shared" si="43"/>
        <v>0.0998414949045578</v>
      </c>
      <c r="K462" s="3" t="b">
        <f t="shared" si="44"/>
        <v>1</v>
      </c>
      <c r="L462" s="3" t="b">
        <f t="shared" si="45"/>
        <v>0</v>
      </c>
      <c r="M462" s="3" t="str">
        <f t="shared" si="46"/>
        <v>Not Eligible</v>
      </c>
      <c r="N462" s="3" t="str">
        <f t="shared" si="47"/>
        <v>Credit score below 700</v>
      </c>
      <c r="O462" s="3" t="s">
        <v>85</v>
      </c>
    </row>
    <row r="463" customHeight="1" spans="1:15">
      <c r="A463" s="3" t="s">
        <v>970</v>
      </c>
      <c r="B463" s="3" t="s">
        <v>971</v>
      </c>
      <c r="C463" s="10">
        <v>59909</v>
      </c>
      <c r="D463" s="10">
        <v>0</v>
      </c>
      <c r="E463" s="10">
        <v>340000</v>
      </c>
      <c r="F463" s="10">
        <v>36</v>
      </c>
      <c r="G463" s="16">
        <v>14.21</v>
      </c>
      <c r="H463" s="10">
        <v>620</v>
      </c>
      <c r="I463" s="10">
        <f t="shared" si="42"/>
        <v>11655.1025739515</v>
      </c>
      <c r="J463" s="12">
        <f t="shared" si="43"/>
        <v>0.194546772170316</v>
      </c>
      <c r="K463" s="3" t="b">
        <f t="shared" si="44"/>
        <v>1</v>
      </c>
      <c r="L463" s="3" t="b">
        <f t="shared" si="45"/>
        <v>0</v>
      </c>
      <c r="M463" s="3" t="str">
        <f t="shared" si="46"/>
        <v>Not Eligible</v>
      </c>
      <c r="N463" s="3" t="str">
        <f t="shared" si="47"/>
        <v>Credit score below 700</v>
      </c>
      <c r="O463" s="3" t="s">
        <v>85</v>
      </c>
    </row>
    <row r="464" customHeight="1" spans="1:15">
      <c r="A464" s="3" t="s">
        <v>972</v>
      </c>
      <c r="B464" s="3" t="s">
        <v>973</v>
      </c>
      <c r="C464" s="10">
        <v>22067</v>
      </c>
      <c r="D464" s="10">
        <v>7551</v>
      </c>
      <c r="E464" s="10">
        <v>1130000</v>
      </c>
      <c r="F464" s="10">
        <v>60</v>
      </c>
      <c r="G464" s="16">
        <v>14.96</v>
      </c>
      <c r="H464" s="10">
        <v>699</v>
      </c>
      <c r="I464" s="10">
        <f t="shared" si="42"/>
        <v>26858.9007918481</v>
      </c>
      <c r="J464" s="12">
        <f t="shared" si="43"/>
        <v>1.55933750812743</v>
      </c>
      <c r="K464" s="3" t="b">
        <f t="shared" si="44"/>
        <v>0</v>
      </c>
      <c r="L464" s="3" t="b">
        <f t="shared" si="45"/>
        <v>0</v>
      </c>
      <c r="M464" s="3" t="str">
        <f t="shared" si="46"/>
        <v>Not Eligible</v>
      </c>
      <c r="N464" s="3" t="str">
        <f t="shared" si="47"/>
        <v>FOIR exceeds 50% and credit score below 700</v>
      </c>
      <c r="O464" s="3" t="s">
        <v>91</v>
      </c>
    </row>
    <row r="465" customHeight="1" spans="1:15">
      <c r="A465" s="3" t="s">
        <v>974</v>
      </c>
      <c r="B465" s="3" t="s">
        <v>372</v>
      </c>
      <c r="C465" s="10">
        <v>91848</v>
      </c>
      <c r="D465" s="10">
        <v>0</v>
      </c>
      <c r="E465" s="10">
        <v>670000</v>
      </c>
      <c r="F465" s="10">
        <v>60</v>
      </c>
      <c r="G465" s="16">
        <v>14.66</v>
      </c>
      <c r="H465" s="10">
        <v>732</v>
      </c>
      <c r="I465" s="10">
        <f t="shared" si="42"/>
        <v>15819.9280843098</v>
      </c>
      <c r="J465" s="12">
        <f t="shared" si="43"/>
        <v>0.172240310995447</v>
      </c>
      <c r="K465" s="3" t="b">
        <f t="shared" si="44"/>
        <v>1</v>
      </c>
      <c r="L465" s="3" t="b">
        <f t="shared" si="45"/>
        <v>1</v>
      </c>
      <c r="M465" s="3" t="str">
        <f t="shared" si="46"/>
        <v>Eligible</v>
      </c>
      <c r="N465" s="3" t="str">
        <f t="shared" si="47"/>
        <v/>
      </c>
      <c r="O465" s="3" t="s">
        <v>85</v>
      </c>
    </row>
    <row r="466" customHeight="1" spans="1:15">
      <c r="A466" s="3" t="s">
        <v>975</v>
      </c>
      <c r="B466" s="3" t="s">
        <v>976</v>
      </c>
      <c r="C466" s="10">
        <v>51178</v>
      </c>
      <c r="D466" s="10">
        <v>0</v>
      </c>
      <c r="E466" s="10">
        <v>3410000</v>
      </c>
      <c r="F466" s="10">
        <v>240</v>
      </c>
      <c r="G466" s="16">
        <v>8.7</v>
      </c>
      <c r="H466" s="10">
        <v>729</v>
      </c>
      <c r="I466" s="10">
        <f t="shared" si="42"/>
        <v>30025.8317044852</v>
      </c>
      <c r="J466" s="12">
        <f t="shared" si="43"/>
        <v>0.586694120608176</v>
      </c>
      <c r="K466" s="3" t="b">
        <f t="shared" si="44"/>
        <v>0</v>
      </c>
      <c r="L466" s="3" t="b">
        <f t="shared" si="45"/>
        <v>1</v>
      </c>
      <c r="M466" s="3" t="str">
        <f t="shared" si="46"/>
        <v>Not Eligible</v>
      </c>
      <c r="N466" s="3" t="str">
        <f t="shared" si="47"/>
        <v>FOIR exceeds 50%</v>
      </c>
      <c r="O466" s="3" t="s">
        <v>85</v>
      </c>
    </row>
    <row r="467" customHeight="1" spans="1:15">
      <c r="A467" s="3" t="s">
        <v>977</v>
      </c>
      <c r="B467" s="3" t="s">
        <v>978</v>
      </c>
      <c r="C467" s="10">
        <v>51522</v>
      </c>
      <c r="D467" s="10">
        <v>20579</v>
      </c>
      <c r="E467" s="10">
        <v>1080000</v>
      </c>
      <c r="F467" s="10">
        <v>60</v>
      </c>
      <c r="G467" s="16">
        <v>9.02</v>
      </c>
      <c r="H467" s="10">
        <v>679</v>
      </c>
      <c r="I467" s="10">
        <f t="shared" si="42"/>
        <v>22429.5082598097</v>
      </c>
      <c r="J467" s="12">
        <f t="shared" si="43"/>
        <v>0.83476006870482</v>
      </c>
      <c r="K467" s="3" t="b">
        <f t="shared" si="44"/>
        <v>0</v>
      </c>
      <c r="L467" s="3" t="b">
        <f t="shared" si="45"/>
        <v>0</v>
      </c>
      <c r="M467" s="3" t="str">
        <f t="shared" si="46"/>
        <v>Not Eligible</v>
      </c>
      <c r="N467" s="3" t="str">
        <f t="shared" si="47"/>
        <v>FOIR exceeds 50% and credit score below 700</v>
      </c>
      <c r="O467" s="3" t="s">
        <v>85</v>
      </c>
    </row>
    <row r="468" customHeight="1" spans="1:15">
      <c r="A468" s="3" t="s">
        <v>979</v>
      </c>
      <c r="B468" s="3" t="s">
        <v>980</v>
      </c>
      <c r="C468" s="10">
        <v>84487</v>
      </c>
      <c r="D468" s="10">
        <v>26113</v>
      </c>
      <c r="E468" s="10">
        <v>230000</v>
      </c>
      <c r="F468" s="10">
        <v>60</v>
      </c>
      <c r="G468" s="16">
        <v>9.41</v>
      </c>
      <c r="H468" s="10">
        <v>720</v>
      </c>
      <c r="I468" s="10">
        <f t="shared" si="42"/>
        <v>4820.31844552656</v>
      </c>
      <c r="J468" s="12">
        <f t="shared" si="43"/>
        <v>0.366131102365175</v>
      </c>
      <c r="K468" s="3" t="b">
        <f t="shared" si="44"/>
        <v>1</v>
      </c>
      <c r="L468" s="3" t="b">
        <f t="shared" si="45"/>
        <v>1</v>
      </c>
      <c r="M468" s="3" t="str">
        <f t="shared" si="46"/>
        <v>Eligible</v>
      </c>
      <c r="N468" s="3" t="str">
        <f t="shared" si="47"/>
        <v/>
      </c>
      <c r="O468" s="3" t="s">
        <v>85</v>
      </c>
    </row>
    <row r="469" customHeight="1" spans="1:15">
      <c r="A469" s="3" t="s">
        <v>981</v>
      </c>
      <c r="B469" s="3" t="s">
        <v>982</v>
      </c>
      <c r="C469" s="10">
        <v>94586</v>
      </c>
      <c r="D469" s="10">
        <v>26626</v>
      </c>
      <c r="E469" s="10">
        <v>1030000</v>
      </c>
      <c r="F469" s="10">
        <v>60</v>
      </c>
      <c r="G469" s="16">
        <v>14.38</v>
      </c>
      <c r="H469" s="10">
        <v>743</v>
      </c>
      <c r="I469" s="10">
        <f t="shared" si="42"/>
        <v>24169.697718905</v>
      </c>
      <c r="J469" s="12">
        <f t="shared" si="43"/>
        <v>0.537031883353826</v>
      </c>
      <c r="K469" s="3" t="b">
        <f t="shared" si="44"/>
        <v>0</v>
      </c>
      <c r="L469" s="3" t="b">
        <f t="shared" si="45"/>
        <v>1</v>
      </c>
      <c r="M469" s="3" t="str">
        <f t="shared" si="46"/>
        <v>Not Eligible</v>
      </c>
      <c r="N469" s="3" t="str">
        <f t="shared" si="47"/>
        <v>FOIR exceeds 50%</v>
      </c>
      <c r="O469" s="3" t="s">
        <v>85</v>
      </c>
    </row>
    <row r="470" customHeight="1" spans="1:15">
      <c r="A470" s="3" t="s">
        <v>983</v>
      </c>
      <c r="B470" s="3" t="s">
        <v>984</v>
      </c>
      <c r="C470" s="10">
        <v>61433</v>
      </c>
      <c r="D470" s="10">
        <v>3369</v>
      </c>
      <c r="E470" s="10">
        <v>460000</v>
      </c>
      <c r="F470" s="10">
        <v>84</v>
      </c>
      <c r="G470" s="16">
        <v>10.8</v>
      </c>
      <c r="H470" s="10">
        <v>697</v>
      </c>
      <c r="I470" s="10">
        <f t="shared" si="42"/>
        <v>7828.03116155009</v>
      </c>
      <c r="J470" s="12">
        <f t="shared" si="43"/>
        <v>0.182264111496266</v>
      </c>
      <c r="K470" s="3" t="b">
        <f t="shared" si="44"/>
        <v>1</v>
      </c>
      <c r="L470" s="3" t="b">
        <f t="shared" si="45"/>
        <v>0</v>
      </c>
      <c r="M470" s="3" t="str">
        <f t="shared" si="46"/>
        <v>Not Eligible</v>
      </c>
      <c r="N470" s="3" t="str">
        <f t="shared" si="47"/>
        <v>Credit score below 700</v>
      </c>
      <c r="O470" s="3" t="s">
        <v>85</v>
      </c>
    </row>
    <row r="471" customHeight="1" spans="1:15">
      <c r="A471" s="3" t="s">
        <v>985</v>
      </c>
      <c r="B471" s="3" t="s">
        <v>986</v>
      </c>
      <c r="C471" s="10">
        <v>91768</v>
      </c>
      <c r="D471" s="10">
        <v>32008</v>
      </c>
      <c r="E471" s="10">
        <v>290000</v>
      </c>
      <c r="F471" s="10">
        <v>84</v>
      </c>
      <c r="G471" s="16">
        <v>10.22</v>
      </c>
      <c r="H471" s="10">
        <v>845</v>
      </c>
      <c r="I471" s="10">
        <f t="shared" si="42"/>
        <v>4847.37269101987</v>
      </c>
      <c r="J471" s="12">
        <f t="shared" si="43"/>
        <v>0.401614644440544</v>
      </c>
      <c r="K471" s="3" t="b">
        <f t="shared" si="44"/>
        <v>1</v>
      </c>
      <c r="L471" s="3" t="b">
        <f t="shared" si="45"/>
        <v>1</v>
      </c>
      <c r="M471" s="3" t="str">
        <f t="shared" si="46"/>
        <v>Eligible</v>
      </c>
      <c r="N471" s="3" t="str">
        <f t="shared" si="47"/>
        <v/>
      </c>
      <c r="O471" s="3" t="s">
        <v>85</v>
      </c>
    </row>
    <row r="472" customHeight="1" spans="1:15">
      <c r="A472" s="3" t="s">
        <v>987</v>
      </c>
      <c r="B472" s="3" t="s">
        <v>988</v>
      </c>
      <c r="C472" s="10">
        <v>39370</v>
      </c>
      <c r="D472" s="10">
        <v>16496</v>
      </c>
      <c r="E472" s="10">
        <v>660000</v>
      </c>
      <c r="F472" s="10">
        <v>84</v>
      </c>
      <c r="G472" s="16">
        <v>10.41</v>
      </c>
      <c r="H472" s="10">
        <v>678</v>
      </c>
      <c r="I472" s="10">
        <f t="shared" si="42"/>
        <v>11097.1059548669</v>
      </c>
      <c r="J472" s="12">
        <f t="shared" si="43"/>
        <v>0.700866292986205</v>
      </c>
      <c r="K472" s="3" t="b">
        <f t="shared" si="44"/>
        <v>0</v>
      </c>
      <c r="L472" s="3" t="b">
        <f t="shared" si="45"/>
        <v>0</v>
      </c>
      <c r="M472" s="3" t="str">
        <f t="shared" si="46"/>
        <v>Not Eligible</v>
      </c>
      <c r="N472" s="3" t="str">
        <f t="shared" si="47"/>
        <v>FOIR exceeds 50% and credit score below 700</v>
      </c>
      <c r="O472" s="3" t="s">
        <v>85</v>
      </c>
    </row>
    <row r="473" customHeight="1" spans="1:15">
      <c r="A473" s="3" t="s">
        <v>989</v>
      </c>
      <c r="B473" s="3" t="s">
        <v>990</v>
      </c>
      <c r="C473" s="10">
        <v>63338</v>
      </c>
      <c r="D473" s="10">
        <v>0</v>
      </c>
      <c r="E473" s="10">
        <v>780000</v>
      </c>
      <c r="F473" s="10">
        <v>84</v>
      </c>
      <c r="G473" s="16">
        <v>10.32</v>
      </c>
      <c r="H473" s="10">
        <v>774</v>
      </c>
      <c r="I473" s="10">
        <f t="shared" si="42"/>
        <v>13078.2556418818</v>
      </c>
      <c r="J473" s="12">
        <f t="shared" si="43"/>
        <v>0.20648355871486</v>
      </c>
      <c r="K473" s="3" t="b">
        <f t="shared" si="44"/>
        <v>1</v>
      </c>
      <c r="L473" s="3" t="b">
        <f t="shared" si="45"/>
        <v>1</v>
      </c>
      <c r="M473" s="3" t="str">
        <f t="shared" si="46"/>
        <v>Eligible</v>
      </c>
      <c r="N473" s="3" t="str">
        <f t="shared" si="47"/>
        <v/>
      </c>
      <c r="O473" s="3" t="s">
        <v>85</v>
      </c>
    </row>
    <row r="474" customHeight="1" spans="1:15">
      <c r="A474" s="3" t="s">
        <v>991</v>
      </c>
      <c r="B474" s="3" t="s">
        <v>992</v>
      </c>
      <c r="C474" s="10">
        <v>30547</v>
      </c>
      <c r="D474" s="10">
        <v>0</v>
      </c>
      <c r="E474" s="10">
        <v>850000</v>
      </c>
      <c r="F474" s="10">
        <v>60</v>
      </c>
      <c r="G474" s="16">
        <v>9.29</v>
      </c>
      <c r="H474" s="10">
        <v>764</v>
      </c>
      <c r="I474" s="10">
        <f t="shared" si="42"/>
        <v>17764.4765466562</v>
      </c>
      <c r="J474" s="12">
        <f t="shared" si="43"/>
        <v>0.581545701596106</v>
      </c>
      <c r="K474" s="3" t="b">
        <f t="shared" si="44"/>
        <v>0</v>
      </c>
      <c r="L474" s="3" t="b">
        <f t="shared" si="45"/>
        <v>1</v>
      </c>
      <c r="M474" s="3" t="str">
        <f t="shared" si="46"/>
        <v>Not Eligible</v>
      </c>
      <c r="N474" s="3" t="str">
        <f t="shared" si="47"/>
        <v>FOIR exceeds 50%</v>
      </c>
      <c r="O474" s="3" t="s">
        <v>85</v>
      </c>
    </row>
    <row r="475" customHeight="1" spans="1:15">
      <c r="A475" s="3" t="s">
        <v>993</v>
      </c>
      <c r="B475" s="3" t="s">
        <v>994</v>
      </c>
      <c r="C475" s="10">
        <v>73919</v>
      </c>
      <c r="D475" s="10">
        <v>6230</v>
      </c>
      <c r="E475" s="10">
        <v>2600000</v>
      </c>
      <c r="F475" s="10">
        <v>240</v>
      </c>
      <c r="G475" s="16">
        <v>8.98</v>
      </c>
      <c r="H475" s="10">
        <v>641</v>
      </c>
      <c r="I475" s="10">
        <f t="shared" si="42"/>
        <v>23359.4421948356</v>
      </c>
      <c r="J475" s="12">
        <f t="shared" si="43"/>
        <v>0.4002954882349</v>
      </c>
      <c r="K475" s="3" t="b">
        <f t="shared" si="44"/>
        <v>1</v>
      </c>
      <c r="L475" s="3" t="b">
        <f t="shared" si="45"/>
        <v>0</v>
      </c>
      <c r="M475" s="3" t="str">
        <f t="shared" si="46"/>
        <v>Not Eligible</v>
      </c>
      <c r="N475" s="3" t="str">
        <f t="shared" si="47"/>
        <v>Credit score below 700</v>
      </c>
      <c r="O475" s="3" t="s">
        <v>85</v>
      </c>
    </row>
    <row r="476" customHeight="1" spans="1:15">
      <c r="A476" s="3" t="s">
        <v>995</v>
      </c>
      <c r="B476" s="3" t="s">
        <v>511</v>
      </c>
      <c r="C476" s="10">
        <v>28289</v>
      </c>
      <c r="D476" s="10">
        <v>0</v>
      </c>
      <c r="E476" s="10">
        <v>1120000</v>
      </c>
      <c r="F476" s="10">
        <v>84</v>
      </c>
      <c r="G476" s="16">
        <v>10.49</v>
      </c>
      <c r="H476" s="10">
        <v>736</v>
      </c>
      <c r="I476" s="10">
        <f t="shared" si="42"/>
        <v>18878.1163610971</v>
      </c>
      <c r="J476" s="12">
        <f t="shared" si="43"/>
        <v>0.667330635975011</v>
      </c>
      <c r="K476" s="3" t="b">
        <f t="shared" si="44"/>
        <v>0</v>
      </c>
      <c r="L476" s="3" t="b">
        <f t="shared" si="45"/>
        <v>1</v>
      </c>
      <c r="M476" s="3" t="str">
        <f t="shared" si="46"/>
        <v>Not Eligible</v>
      </c>
      <c r="N476" s="3" t="str">
        <f t="shared" si="47"/>
        <v>FOIR exceeds 50%</v>
      </c>
      <c r="O476" s="3" t="s">
        <v>85</v>
      </c>
    </row>
    <row r="477" customHeight="1" spans="1:15">
      <c r="A477" s="3" t="s">
        <v>996</v>
      </c>
      <c r="B477" s="3" t="s">
        <v>992</v>
      </c>
      <c r="C477" s="10">
        <v>57332</v>
      </c>
      <c r="D477" s="10">
        <v>0</v>
      </c>
      <c r="E477" s="10">
        <v>4300000</v>
      </c>
      <c r="F477" s="10">
        <v>240</v>
      </c>
      <c r="G477" s="16">
        <v>9.59</v>
      </c>
      <c r="H477" s="10">
        <v>746</v>
      </c>
      <c r="I477" s="10">
        <f t="shared" si="42"/>
        <v>40334.6951018809</v>
      </c>
      <c r="J477" s="12">
        <f t="shared" si="43"/>
        <v>0.703528484997575</v>
      </c>
      <c r="K477" s="3" t="b">
        <f t="shared" si="44"/>
        <v>0</v>
      </c>
      <c r="L477" s="3" t="b">
        <f t="shared" si="45"/>
        <v>1</v>
      </c>
      <c r="M477" s="3" t="str">
        <f t="shared" si="46"/>
        <v>Not Eligible</v>
      </c>
      <c r="N477" s="3" t="str">
        <f t="shared" si="47"/>
        <v>FOIR exceeds 50%</v>
      </c>
      <c r="O477" s="3" t="s">
        <v>85</v>
      </c>
    </row>
    <row r="478" customHeight="1" spans="1:15">
      <c r="A478" s="3" t="s">
        <v>997</v>
      </c>
      <c r="B478" s="3" t="s">
        <v>998</v>
      </c>
      <c r="C478" s="10">
        <v>75689</v>
      </c>
      <c r="D478" s="10">
        <v>23065</v>
      </c>
      <c r="E478" s="10">
        <v>230000</v>
      </c>
      <c r="F478" s="10">
        <v>48</v>
      </c>
      <c r="G478" s="16">
        <v>11.22</v>
      </c>
      <c r="H478" s="10">
        <v>723</v>
      </c>
      <c r="I478" s="10">
        <f t="shared" si="42"/>
        <v>5969.07298912036</v>
      </c>
      <c r="J478" s="12">
        <f t="shared" si="43"/>
        <v>0.383596995456676</v>
      </c>
      <c r="K478" s="3" t="b">
        <f t="shared" si="44"/>
        <v>1</v>
      </c>
      <c r="L478" s="3" t="b">
        <f t="shared" si="45"/>
        <v>1</v>
      </c>
      <c r="M478" s="3" t="str">
        <f t="shared" si="46"/>
        <v>Eligible</v>
      </c>
      <c r="N478" s="3" t="str">
        <f t="shared" si="47"/>
        <v/>
      </c>
      <c r="O478" s="3" t="s">
        <v>85</v>
      </c>
    </row>
    <row r="479" customHeight="1" spans="1:15">
      <c r="A479" s="3" t="s">
        <v>999</v>
      </c>
      <c r="B479" s="3" t="s">
        <v>1000</v>
      </c>
      <c r="C479" s="10">
        <v>58703</v>
      </c>
      <c r="D479" s="10">
        <v>0</v>
      </c>
      <c r="E479" s="10">
        <v>1180000</v>
      </c>
      <c r="F479" s="10">
        <v>84</v>
      </c>
      <c r="G479" s="16">
        <v>10.37</v>
      </c>
      <c r="H479" s="10">
        <v>706</v>
      </c>
      <c r="I479" s="10">
        <f t="shared" si="42"/>
        <v>19815.7242880749</v>
      </c>
      <c r="J479" s="12">
        <f t="shared" si="43"/>
        <v>0.337558971229322</v>
      </c>
      <c r="K479" s="3" t="b">
        <f t="shared" si="44"/>
        <v>1</v>
      </c>
      <c r="L479" s="3" t="b">
        <f t="shared" si="45"/>
        <v>1</v>
      </c>
      <c r="M479" s="3" t="str">
        <f t="shared" si="46"/>
        <v>Eligible</v>
      </c>
      <c r="N479" s="3" t="str">
        <f t="shared" si="47"/>
        <v/>
      </c>
      <c r="O479" s="3" t="s">
        <v>85</v>
      </c>
    </row>
    <row r="480" customHeight="1" spans="1:15">
      <c r="A480" s="3" t="s">
        <v>1001</v>
      </c>
      <c r="B480" s="3" t="s">
        <v>412</v>
      </c>
      <c r="C480" s="10">
        <v>52279</v>
      </c>
      <c r="D480" s="10">
        <v>20872</v>
      </c>
      <c r="E480" s="10">
        <v>1440000</v>
      </c>
      <c r="F480" s="10">
        <v>240</v>
      </c>
      <c r="G480" s="16">
        <v>8.54</v>
      </c>
      <c r="H480" s="10">
        <v>672</v>
      </c>
      <c r="I480" s="10">
        <f t="shared" si="42"/>
        <v>12533.1343989925</v>
      </c>
      <c r="J480" s="12">
        <f t="shared" si="43"/>
        <v>0.638978067656086</v>
      </c>
      <c r="K480" s="3" t="b">
        <f t="shared" si="44"/>
        <v>0</v>
      </c>
      <c r="L480" s="3" t="b">
        <f t="shared" si="45"/>
        <v>0</v>
      </c>
      <c r="M480" s="3" t="str">
        <f t="shared" si="46"/>
        <v>Not Eligible</v>
      </c>
      <c r="N480" s="3" t="str">
        <f t="shared" si="47"/>
        <v>FOIR exceeds 50% and credit score below 700</v>
      </c>
      <c r="O480" s="3" t="s">
        <v>85</v>
      </c>
    </row>
    <row r="481" customHeight="1" spans="1:15">
      <c r="A481" s="3" t="s">
        <v>1002</v>
      </c>
      <c r="B481" s="3" t="s">
        <v>1003</v>
      </c>
      <c r="C481" s="10">
        <v>87967</v>
      </c>
      <c r="D481" s="10">
        <v>5641</v>
      </c>
      <c r="E481" s="10">
        <v>360000</v>
      </c>
      <c r="F481" s="10">
        <v>84</v>
      </c>
      <c r="G481" s="16">
        <v>10.76</v>
      </c>
      <c r="H481" s="10">
        <v>685</v>
      </c>
      <c r="I481" s="10">
        <f t="shared" si="42"/>
        <v>6118.74254069307</v>
      </c>
      <c r="J481" s="12">
        <f t="shared" si="43"/>
        <v>0.133683569300909</v>
      </c>
      <c r="K481" s="3" t="b">
        <f t="shared" si="44"/>
        <v>1</v>
      </c>
      <c r="L481" s="3" t="b">
        <f t="shared" si="45"/>
        <v>0</v>
      </c>
      <c r="M481" s="3" t="str">
        <f t="shared" si="46"/>
        <v>Not Eligible</v>
      </c>
      <c r="N481" s="3" t="str">
        <f t="shared" si="47"/>
        <v>Credit score below 700</v>
      </c>
      <c r="O481" s="3" t="s">
        <v>85</v>
      </c>
    </row>
    <row r="482" customHeight="1" spans="1:15">
      <c r="A482" s="3" t="s">
        <v>1004</v>
      </c>
      <c r="B482" s="3" t="s">
        <v>1005</v>
      </c>
      <c r="C482" s="10">
        <v>45691</v>
      </c>
      <c r="D482" s="10">
        <v>16249</v>
      </c>
      <c r="E482" s="10">
        <v>490000</v>
      </c>
      <c r="F482" s="10">
        <v>60</v>
      </c>
      <c r="G482" s="16">
        <v>14.63</v>
      </c>
      <c r="H482" s="10">
        <v>692</v>
      </c>
      <c r="I482" s="10">
        <f t="shared" si="42"/>
        <v>11562.1156401261</v>
      </c>
      <c r="J482" s="12">
        <f t="shared" si="43"/>
        <v>0.608678200085927</v>
      </c>
      <c r="K482" s="3" t="b">
        <f t="shared" si="44"/>
        <v>0</v>
      </c>
      <c r="L482" s="3" t="b">
        <f t="shared" si="45"/>
        <v>0</v>
      </c>
      <c r="M482" s="3" t="str">
        <f t="shared" si="46"/>
        <v>Not Eligible</v>
      </c>
      <c r="N482" s="3" t="str">
        <f t="shared" si="47"/>
        <v>FOIR exceeds 50% and credit score below 700</v>
      </c>
      <c r="O482" s="3" t="s">
        <v>85</v>
      </c>
    </row>
    <row r="483" customHeight="1" spans="1:15">
      <c r="A483" s="3" t="s">
        <v>1006</v>
      </c>
      <c r="B483" s="3" t="s">
        <v>402</v>
      </c>
      <c r="C483" s="10">
        <v>81458</v>
      </c>
      <c r="D483" s="10">
        <v>13284</v>
      </c>
      <c r="E483" s="10">
        <v>440000</v>
      </c>
      <c r="F483" s="10">
        <v>36</v>
      </c>
      <c r="G483" s="16">
        <v>13.16</v>
      </c>
      <c r="H483" s="10">
        <v>700</v>
      </c>
      <c r="I483" s="10">
        <f t="shared" si="42"/>
        <v>14859.2706350706</v>
      </c>
      <c r="J483" s="12">
        <f t="shared" si="43"/>
        <v>0.345494250227978</v>
      </c>
      <c r="K483" s="3" t="b">
        <f t="shared" si="44"/>
        <v>1</v>
      </c>
      <c r="L483" s="3" t="b">
        <f t="shared" si="45"/>
        <v>1</v>
      </c>
      <c r="M483" s="3" t="str">
        <f t="shared" si="46"/>
        <v>Eligible</v>
      </c>
      <c r="N483" s="3" t="str">
        <f t="shared" si="47"/>
        <v/>
      </c>
      <c r="O483" s="3" t="s">
        <v>91</v>
      </c>
    </row>
    <row r="484" customHeight="1" spans="1:15">
      <c r="A484" s="3" t="s">
        <v>1007</v>
      </c>
      <c r="B484" s="3" t="s">
        <v>374</v>
      </c>
      <c r="C484" s="10">
        <v>52273</v>
      </c>
      <c r="D484" s="10">
        <v>17770</v>
      </c>
      <c r="E484" s="10">
        <v>600000</v>
      </c>
      <c r="F484" s="10">
        <v>84</v>
      </c>
      <c r="G484" s="16">
        <v>11.16</v>
      </c>
      <c r="H484" s="10">
        <v>725</v>
      </c>
      <c r="I484" s="10">
        <f t="shared" si="42"/>
        <v>10324.0073210783</v>
      </c>
      <c r="J484" s="12">
        <f t="shared" si="43"/>
        <v>0.537447770762694</v>
      </c>
      <c r="K484" s="3" t="b">
        <f t="shared" si="44"/>
        <v>0</v>
      </c>
      <c r="L484" s="3" t="b">
        <f t="shared" si="45"/>
        <v>1</v>
      </c>
      <c r="M484" s="3" t="str">
        <f t="shared" si="46"/>
        <v>Not Eligible</v>
      </c>
      <c r="N484" s="3" t="str">
        <f t="shared" si="47"/>
        <v>FOIR exceeds 50%</v>
      </c>
      <c r="O484" s="3" t="s">
        <v>85</v>
      </c>
    </row>
    <row r="485" customHeight="1" spans="1:15">
      <c r="A485" s="3" t="s">
        <v>1008</v>
      </c>
      <c r="B485" s="3" t="s">
        <v>378</v>
      </c>
      <c r="C485" s="10">
        <v>76724</v>
      </c>
      <c r="D485" s="10">
        <v>23535</v>
      </c>
      <c r="E485" s="10">
        <v>740000</v>
      </c>
      <c r="F485" s="10">
        <v>48</v>
      </c>
      <c r="G485" s="16">
        <v>12</v>
      </c>
      <c r="H485" s="10">
        <v>820</v>
      </c>
      <c r="I485" s="10">
        <f t="shared" si="42"/>
        <v>19487.0382196265</v>
      </c>
      <c r="J485" s="12">
        <f t="shared" si="43"/>
        <v>0.560737685986478</v>
      </c>
      <c r="K485" s="3" t="b">
        <f t="shared" si="44"/>
        <v>0</v>
      </c>
      <c r="L485" s="3" t="b">
        <f t="shared" si="45"/>
        <v>1</v>
      </c>
      <c r="M485" s="3" t="str">
        <f t="shared" si="46"/>
        <v>Not Eligible</v>
      </c>
      <c r="N485" s="3" t="str">
        <f t="shared" si="47"/>
        <v>FOIR exceeds 50%</v>
      </c>
      <c r="O485" s="3" t="s">
        <v>85</v>
      </c>
    </row>
    <row r="486" customHeight="1" spans="1:15">
      <c r="A486" s="3" t="s">
        <v>1009</v>
      </c>
      <c r="B486" s="3" t="s">
        <v>1010</v>
      </c>
      <c r="C486" s="10">
        <v>77411</v>
      </c>
      <c r="D486" s="10">
        <v>0</v>
      </c>
      <c r="E486" s="10">
        <v>1230000</v>
      </c>
      <c r="F486" s="10">
        <v>84</v>
      </c>
      <c r="G486" s="16">
        <v>10.12</v>
      </c>
      <c r="H486" s="10">
        <v>783</v>
      </c>
      <c r="I486" s="10">
        <f t="shared" si="42"/>
        <v>20495.8015958196</v>
      </c>
      <c r="J486" s="12">
        <f t="shared" si="43"/>
        <v>0.264766009944576</v>
      </c>
      <c r="K486" s="3" t="b">
        <f t="shared" si="44"/>
        <v>1</v>
      </c>
      <c r="L486" s="3" t="b">
        <f t="shared" si="45"/>
        <v>1</v>
      </c>
      <c r="M486" s="3" t="str">
        <f t="shared" si="46"/>
        <v>Eligible</v>
      </c>
      <c r="N486" s="3" t="str">
        <f t="shared" si="47"/>
        <v/>
      </c>
      <c r="O486" s="3" t="s">
        <v>85</v>
      </c>
    </row>
    <row r="487" customHeight="1" spans="1:15">
      <c r="A487" s="3" t="s">
        <v>1011</v>
      </c>
      <c r="B487" s="3" t="s">
        <v>1012</v>
      </c>
      <c r="C487" s="10">
        <v>29152</v>
      </c>
      <c r="D487" s="10">
        <v>1628</v>
      </c>
      <c r="E487" s="10">
        <v>1090000</v>
      </c>
      <c r="F487" s="10">
        <v>60</v>
      </c>
      <c r="G487" s="16">
        <v>14.3</v>
      </c>
      <c r="H487" s="10">
        <v>807</v>
      </c>
      <c r="I487" s="10">
        <f t="shared" si="42"/>
        <v>25532.2410532146</v>
      </c>
      <c r="J487" s="12">
        <f t="shared" si="43"/>
        <v>0.931676764997756</v>
      </c>
      <c r="K487" s="3" t="b">
        <f t="shared" si="44"/>
        <v>0</v>
      </c>
      <c r="L487" s="3" t="b">
        <f t="shared" si="45"/>
        <v>1</v>
      </c>
      <c r="M487" s="3" t="str">
        <f t="shared" si="46"/>
        <v>Not Eligible</v>
      </c>
      <c r="N487" s="3" t="str">
        <f t="shared" si="47"/>
        <v>FOIR exceeds 50%</v>
      </c>
      <c r="O487" s="3" t="s">
        <v>85</v>
      </c>
    </row>
    <row r="488" customHeight="1" spans="1:15">
      <c r="A488" s="3" t="s">
        <v>1013</v>
      </c>
      <c r="B488" s="3" t="s">
        <v>659</v>
      </c>
      <c r="C488" s="10">
        <v>104467</v>
      </c>
      <c r="D488" s="10">
        <v>46572</v>
      </c>
      <c r="E488" s="10">
        <v>3510000</v>
      </c>
      <c r="F488" s="10">
        <v>240</v>
      </c>
      <c r="G488" s="16">
        <v>9.25</v>
      </c>
      <c r="H488" s="10">
        <v>690</v>
      </c>
      <c r="I488" s="10">
        <f t="shared" si="42"/>
        <v>32146.9258678393</v>
      </c>
      <c r="J488" s="12">
        <f t="shared" si="43"/>
        <v>0.753529113192102</v>
      </c>
      <c r="K488" s="3" t="b">
        <f t="shared" si="44"/>
        <v>0</v>
      </c>
      <c r="L488" s="3" t="b">
        <f t="shared" si="45"/>
        <v>0</v>
      </c>
      <c r="M488" s="3" t="str">
        <f t="shared" si="46"/>
        <v>Not Eligible</v>
      </c>
      <c r="N488" s="3" t="str">
        <f t="shared" si="47"/>
        <v>FOIR exceeds 50% and credit score below 700</v>
      </c>
      <c r="O488" s="3" t="s">
        <v>85</v>
      </c>
    </row>
    <row r="489" customHeight="1" spans="1:15">
      <c r="A489" s="3" t="s">
        <v>1014</v>
      </c>
      <c r="B489" s="3" t="s">
        <v>978</v>
      </c>
      <c r="C489" s="10">
        <v>89357</v>
      </c>
      <c r="D489" s="10">
        <v>29458</v>
      </c>
      <c r="E489" s="10">
        <v>1760000</v>
      </c>
      <c r="F489" s="10">
        <v>60</v>
      </c>
      <c r="G489" s="16">
        <v>13.75</v>
      </c>
      <c r="H489" s="10">
        <v>809</v>
      </c>
      <c r="I489" s="10">
        <f t="shared" si="42"/>
        <v>40724.3669370272</v>
      </c>
      <c r="J489" s="12">
        <f t="shared" si="43"/>
        <v>0.785415434012189</v>
      </c>
      <c r="K489" s="3" t="b">
        <f t="shared" si="44"/>
        <v>0</v>
      </c>
      <c r="L489" s="3" t="b">
        <f t="shared" si="45"/>
        <v>1</v>
      </c>
      <c r="M489" s="3" t="str">
        <f t="shared" si="46"/>
        <v>Not Eligible</v>
      </c>
      <c r="N489" s="3" t="str">
        <f t="shared" si="47"/>
        <v>FOIR exceeds 50%</v>
      </c>
      <c r="O489" s="3" t="s">
        <v>85</v>
      </c>
    </row>
    <row r="490" customHeight="1" spans="1:15">
      <c r="A490" s="3" t="s">
        <v>1015</v>
      </c>
      <c r="B490" s="3" t="s">
        <v>376</v>
      </c>
      <c r="C490" s="10">
        <v>66502</v>
      </c>
      <c r="D490" s="10">
        <v>0</v>
      </c>
      <c r="E490" s="10">
        <v>2530000</v>
      </c>
      <c r="F490" s="10">
        <v>240</v>
      </c>
      <c r="G490" s="16">
        <v>9.46</v>
      </c>
      <c r="H490" s="10">
        <v>752</v>
      </c>
      <c r="I490" s="10">
        <f t="shared" si="42"/>
        <v>23516.8732749391</v>
      </c>
      <c r="J490" s="12">
        <f t="shared" si="43"/>
        <v>0.353626556719183</v>
      </c>
      <c r="K490" s="3" t="b">
        <f t="shared" si="44"/>
        <v>1</v>
      </c>
      <c r="L490" s="3" t="b">
        <f t="shared" si="45"/>
        <v>1</v>
      </c>
      <c r="M490" s="3" t="str">
        <f t="shared" si="46"/>
        <v>Eligible</v>
      </c>
      <c r="N490" s="3" t="str">
        <f t="shared" si="47"/>
        <v/>
      </c>
      <c r="O490" s="3" t="s">
        <v>85</v>
      </c>
    </row>
    <row r="491" customHeight="1" spans="1:15">
      <c r="A491" s="3" t="s">
        <v>1016</v>
      </c>
      <c r="B491" s="3" t="s">
        <v>1017</v>
      </c>
      <c r="C491" s="10">
        <v>90383</v>
      </c>
      <c r="D491" s="10">
        <v>0</v>
      </c>
      <c r="E491" s="10">
        <v>870000</v>
      </c>
      <c r="F491" s="10">
        <v>60</v>
      </c>
      <c r="G491" s="16">
        <v>13.79</v>
      </c>
      <c r="H491" s="10">
        <v>809</v>
      </c>
      <c r="I491" s="10">
        <f t="shared" si="42"/>
        <v>20148.7845488075</v>
      </c>
      <c r="J491" s="12">
        <f t="shared" si="43"/>
        <v>0.222926706889653</v>
      </c>
      <c r="K491" s="3" t="b">
        <f t="shared" si="44"/>
        <v>1</v>
      </c>
      <c r="L491" s="3" t="b">
        <f t="shared" si="45"/>
        <v>1</v>
      </c>
      <c r="M491" s="3" t="str">
        <f t="shared" si="46"/>
        <v>Eligible</v>
      </c>
      <c r="N491" s="3" t="str">
        <f t="shared" si="47"/>
        <v/>
      </c>
      <c r="O491" s="3" t="s">
        <v>91</v>
      </c>
    </row>
    <row r="492" customHeight="1" spans="1:15">
      <c r="A492" s="3" t="s">
        <v>1018</v>
      </c>
      <c r="B492" s="3" t="s">
        <v>355</v>
      </c>
      <c r="C492" s="10">
        <v>29167</v>
      </c>
      <c r="D492" s="10">
        <v>0</v>
      </c>
      <c r="E492" s="10">
        <v>4920000</v>
      </c>
      <c r="F492" s="10">
        <v>240</v>
      </c>
      <c r="G492" s="16">
        <v>8.65</v>
      </c>
      <c r="H492" s="10">
        <v>757</v>
      </c>
      <c r="I492" s="10">
        <f t="shared" si="42"/>
        <v>43165.1411273926</v>
      </c>
      <c r="J492" s="12">
        <f t="shared" si="43"/>
        <v>1.47993078230166</v>
      </c>
      <c r="K492" s="3" t="b">
        <f t="shared" si="44"/>
        <v>0</v>
      </c>
      <c r="L492" s="3" t="b">
        <f t="shared" si="45"/>
        <v>1</v>
      </c>
      <c r="M492" s="3" t="str">
        <f t="shared" si="46"/>
        <v>Not Eligible</v>
      </c>
      <c r="N492" s="3" t="str">
        <f t="shared" si="47"/>
        <v>FOIR exceeds 50%</v>
      </c>
      <c r="O492" s="3" t="s">
        <v>91</v>
      </c>
    </row>
    <row r="493" customHeight="1" spans="1:15">
      <c r="A493" s="3" t="s">
        <v>1019</v>
      </c>
      <c r="B493" s="3" t="s">
        <v>798</v>
      </c>
      <c r="C493" s="10">
        <v>46129</v>
      </c>
      <c r="D493" s="10">
        <v>14296</v>
      </c>
      <c r="E493" s="10">
        <v>1010000</v>
      </c>
      <c r="F493" s="10">
        <v>60</v>
      </c>
      <c r="G493" s="16">
        <v>14.53</v>
      </c>
      <c r="H493" s="10">
        <v>775</v>
      </c>
      <c r="I493" s="10">
        <f t="shared" si="42"/>
        <v>23779.3737829904</v>
      </c>
      <c r="J493" s="12">
        <f t="shared" si="43"/>
        <v>0.825410778100336</v>
      </c>
      <c r="K493" s="3" t="b">
        <f t="shared" si="44"/>
        <v>0</v>
      </c>
      <c r="L493" s="3" t="b">
        <f t="shared" si="45"/>
        <v>1</v>
      </c>
      <c r="M493" s="3" t="str">
        <f t="shared" si="46"/>
        <v>Not Eligible</v>
      </c>
      <c r="N493" s="3" t="str">
        <f t="shared" si="47"/>
        <v>FOIR exceeds 50%</v>
      </c>
      <c r="O493" s="3" t="s">
        <v>85</v>
      </c>
    </row>
    <row r="494" customHeight="1" spans="1:15">
      <c r="A494" s="3" t="s">
        <v>1020</v>
      </c>
      <c r="B494" s="3" t="s">
        <v>568</v>
      </c>
      <c r="C494" s="10">
        <v>83079</v>
      </c>
      <c r="D494" s="10">
        <v>7618</v>
      </c>
      <c r="E494" s="10">
        <v>1440000</v>
      </c>
      <c r="F494" s="10">
        <v>84</v>
      </c>
      <c r="G494" s="16">
        <v>10.72</v>
      </c>
      <c r="H494" s="10">
        <v>759</v>
      </c>
      <c r="I494" s="10">
        <f t="shared" si="42"/>
        <v>24444.8201950263</v>
      </c>
      <c r="J494" s="12">
        <f t="shared" si="43"/>
        <v>0.385931705906743</v>
      </c>
      <c r="K494" s="3" t="b">
        <f t="shared" si="44"/>
        <v>1</v>
      </c>
      <c r="L494" s="3" t="b">
        <f t="shared" si="45"/>
        <v>1</v>
      </c>
      <c r="M494" s="3" t="str">
        <f t="shared" si="46"/>
        <v>Eligible</v>
      </c>
      <c r="N494" s="3" t="str">
        <f t="shared" si="47"/>
        <v/>
      </c>
      <c r="O494" s="3" t="s">
        <v>85</v>
      </c>
    </row>
    <row r="495" customHeight="1" spans="1:15">
      <c r="A495" s="3" t="s">
        <v>1021</v>
      </c>
      <c r="B495" s="3" t="s">
        <v>1022</v>
      </c>
      <c r="C495" s="10">
        <v>225812</v>
      </c>
      <c r="D495" s="10">
        <v>0</v>
      </c>
      <c r="E495" s="10">
        <v>640000</v>
      </c>
      <c r="F495" s="10">
        <v>84</v>
      </c>
      <c r="G495" s="16">
        <v>11.05</v>
      </c>
      <c r="H495" s="10">
        <v>738</v>
      </c>
      <c r="I495" s="10">
        <f t="shared" si="42"/>
        <v>10975.1918997858</v>
      </c>
      <c r="J495" s="12">
        <f t="shared" si="43"/>
        <v>0.048603227019759</v>
      </c>
      <c r="K495" s="3" t="b">
        <f t="shared" si="44"/>
        <v>1</v>
      </c>
      <c r="L495" s="3" t="b">
        <f t="shared" si="45"/>
        <v>1</v>
      </c>
      <c r="M495" s="3" t="str">
        <f t="shared" si="46"/>
        <v>Eligible</v>
      </c>
      <c r="N495" s="3" t="str">
        <f t="shared" si="47"/>
        <v/>
      </c>
      <c r="O495" s="3" t="s">
        <v>91</v>
      </c>
    </row>
    <row r="496" customHeight="1" spans="1:15">
      <c r="A496" s="3" t="s">
        <v>1023</v>
      </c>
      <c r="B496" s="3" t="s">
        <v>1024</v>
      </c>
      <c r="C496" s="10">
        <v>75018</v>
      </c>
      <c r="D496" s="10">
        <v>0</v>
      </c>
      <c r="E496" s="10">
        <v>390000</v>
      </c>
      <c r="F496" s="10">
        <v>48</v>
      </c>
      <c r="G496" s="16">
        <v>11.41</v>
      </c>
      <c r="H496" s="10">
        <v>634</v>
      </c>
      <c r="I496" s="10">
        <f t="shared" si="42"/>
        <v>10157.5821241164</v>
      </c>
      <c r="J496" s="12">
        <f t="shared" si="43"/>
        <v>0.135401931857906</v>
      </c>
      <c r="K496" s="3" t="b">
        <f t="shared" si="44"/>
        <v>1</v>
      </c>
      <c r="L496" s="3" t="b">
        <f t="shared" si="45"/>
        <v>0</v>
      </c>
      <c r="M496" s="3" t="str">
        <f t="shared" si="46"/>
        <v>Not Eligible</v>
      </c>
      <c r="N496" s="3" t="str">
        <f t="shared" si="47"/>
        <v>Credit score below 700</v>
      </c>
      <c r="O496" s="3" t="s">
        <v>85</v>
      </c>
    </row>
    <row r="497" customHeight="1" spans="1:15">
      <c r="A497" s="3" t="s">
        <v>1025</v>
      </c>
      <c r="B497" s="3" t="s">
        <v>1026</v>
      </c>
      <c r="C497" s="10">
        <v>69079</v>
      </c>
      <c r="D497" s="10">
        <v>0</v>
      </c>
      <c r="E497" s="10">
        <v>350000</v>
      </c>
      <c r="F497" s="10">
        <v>48</v>
      </c>
      <c r="G497" s="16">
        <v>12.16</v>
      </c>
      <c r="H497" s="10">
        <v>873</v>
      </c>
      <c r="I497" s="10">
        <f t="shared" si="42"/>
        <v>9244.36185441005</v>
      </c>
      <c r="J497" s="12">
        <f t="shared" si="43"/>
        <v>0.133823041074857</v>
      </c>
      <c r="K497" s="3" t="b">
        <f t="shared" si="44"/>
        <v>1</v>
      </c>
      <c r="L497" s="3" t="b">
        <f t="shared" si="45"/>
        <v>1</v>
      </c>
      <c r="M497" s="3" t="str">
        <f t="shared" si="46"/>
        <v>Eligible</v>
      </c>
      <c r="N497" s="3" t="str">
        <f t="shared" si="47"/>
        <v/>
      </c>
      <c r="O497" s="3" t="s">
        <v>85</v>
      </c>
    </row>
    <row r="498" customHeight="1" spans="1:15">
      <c r="A498" s="3" t="s">
        <v>1027</v>
      </c>
      <c r="B498" s="3" t="s">
        <v>1028</v>
      </c>
      <c r="C498" s="10">
        <v>30418</v>
      </c>
      <c r="D498" s="10">
        <v>2795</v>
      </c>
      <c r="E498" s="10">
        <v>320000</v>
      </c>
      <c r="F498" s="10">
        <v>60</v>
      </c>
      <c r="G498" s="16">
        <v>9.49</v>
      </c>
      <c r="H498" s="10">
        <v>651</v>
      </c>
      <c r="I498" s="10">
        <f t="shared" si="42"/>
        <v>6719.03191481818</v>
      </c>
      <c r="J498" s="12">
        <f t="shared" si="43"/>
        <v>0.312776379604779</v>
      </c>
      <c r="K498" s="3" t="b">
        <f t="shared" si="44"/>
        <v>1</v>
      </c>
      <c r="L498" s="3" t="b">
        <f t="shared" si="45"/>
        <v>0</v>
      </c>
      <c r="M498" s="3" t="str">
        <f t="shared" si="46"/>
        <v>Not Eligible</v>
      </c>
      <c r="N498" s="3" t="str">
        <f t="shared" si="47"/>
        <v>Credit score below 700</v>
      </c>
      <c r="O498" s="3" t="s">
        <v>85</v>
      </c>
    </row>
    <row r="499" customHeight="1" spans="1:15">
      <c r="A499" s="3" t="s">
        <v>1029</v>
      </c>
      <c r="B499" s="3" t="s">
        <v>1030</v>
      </c>
      <c r="C499" s="10">
        <v>62905</v>
      </c>
      <c r="D499" s="10">
        <v>0</v>
      </c>
      <c r="E499" s="10">
        <v>1320000</v>
      </c>
      <c r="F499" s="10">
        <v>84</v>
      </c>
      <c r="G499" s="16">
        <v>10.13</v>
      </c>
      <c r="H499" s="10">
        <v>787</v>
      </c>
      <c r="I499" s="10">
        <f t="shared" si="42"/>
        <v>22002.32986009</v>
      </c>
      <c r="J499" s="12">
        <f t="shared" si="43"/>
        <v>0.349770763215802</v>
      </c>
      <c r="K499" s="3" t="b">
        <f t="shared" si="44"/>
        <v>1</v>
      </c>
      <c r="L499" s="3" t="b">
        <f t="shared" si="45"/>
        <v>1</v>
      </c>
      <c r="M499" s="3" t="str">
        <f t="shared" si="46"/>
        <v>Eligible</v>
      </c>
      <c r="N499" s="3" t="str">
        <f t="shared" si="47"/>
        <v/>
      </c>
      <c r="O499" s="3" t="s">
        <v>85</v>
      </c>
    </row>
    <row r="500" customHeight="1" spans="1:15">
      <c r="A500" s="3" t="s">
        <v>1031</v>
      </c>
      <c r="B500" s="3" t="s">
        <v>765</v>
      </c>
      <c r="C500" s="10">
        <v>38252</v>
      </c>
      <c r="D500" s="10">
        <v>0</v>
      </c>
      <c r="E500" s="10">
        <v>310000</v>
      </c>
      <c r="F500" s="10">
        <v>36</v>
      </c>
      <c r="G500" s="16">
        <v>13.36</v>
      </c>
      <c r="H500" s="10">
        <v>614</v>
      </c>
      <c r="I500" s="10">
        <f t="shared" si="42"/>
        <v>10498.9596720687</v>
      </c>
      <c r="J500" s="12">
        <f t="shared" si="43"/>
        <v>0.274468254524436</v>
      </c>
      <c r="K500" s="3" t="b">
        <f t="shared" si="44"/>
        <v>1</v>
      </c>
      <c r="L500" s="3" t="b">
        <f t="shared" si="45"/>
        <v>0</v>
      </c>
      <c r="M500" s="3" t="str">
        <f t="shared" si="46"/>
        <v>Not Eligible</v>
      </c>
      <c r="N500" s="3" t="str">
        <f t="shared" si="47"/>
        <v>Credit score below 700</v>
      </c>
      <c r="O500" s="3" t="s">
        <v>85</v>
      </c>
    </row>
    <row r="501" customHeight="1" spans="1:15">
      <c r="A501" s="3" t="s">
        <v>1032</v>
      </c>
      <c r="B501" s="3" t="s">
        <v>1033</v>
      </c>
      <c r="C501" s="10">
        <v>111341</v>
      </c>
      <c r="D501" s="10">
        <v>5446</v>
      </c>
      <c r="E501" s="10">
        <v>730000</v>
      </c>
      <c r="F501" s="10">
        <v>48</v>
      </c>
      <c r="G501" s="16">
        <v>11.02</v>
      </c>
      <c r="H501" s="10">
        <v>734</v>
      </c>
      <c r="I501" s="10">
        <f t="shared" si="42"/>
        <v>18874.3224919113</v>
      </c>
      <c r="J501" s="12">
        <f t="shared" si="43"/>
        <v>0.218430968752852</v>
      </c>
      <c r="K501" s="3" t="b">
        <f t="shared" si="44"/>
        <v>1</v>
      </c>
      <c r="L501" s="3" t="b">
        <f t="shared" si="45"/>
        <v>1</v>
      </c>
      <c r="M501" s="3" t="str">
        <f t="shared" si="46"/>
        <v>Eligible</v>
      </c>
      <c r="N501" s="3" t="str">
        <f t="shared" si="47"/>
        <v/>
      </c>
      <c r="O501" s="3" t="s">
        <v>85</v>
      </c>
    </row>
  </sheetData>
  <autoFilter xmlns:etc="http://www.wps.cn/officeDocument/2017/etCustomData" ref="A1:O501" etc:filterBottomFollowUsedRange="0">
    <extLst/>
  </autoFilter>
  <conditionalFormatting sqref="M2:M501">
    <cfRule type="expression" dxfId="0" priority="2">
      <formula>M2="Eligible"</formula>
    </cfRule>
    <cfRule type="expression" dxfId="1" priority="3">
      <formula>M2="Not Eligible"</formula>
    </cfRule>
  </conditionalFormatting>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01"/>
  <sheetViews>
    <sheetView workbookViewId="0">
      <pane ySplit="1" topLeftCell="A2" activePane="bottomLeft" state="frozen"/>
      <selection/>
      <selection pane="bottomLeft" activeCell="A1" sqref="A1"/>
    </sheetView>
  </sheetViews>
  <sheetFormatPr defaultColWidth="8.67592592592593" defaultRowHeight="15" customHeight="1"/>
  <cols>
    <col min="1" max="1" width="14" customWidth="1"/>
    <col min="2" max="2" width="22" customWidth="1"/>
    <col min="3" max="5" width="18" customWidth="1"/>
    <col min="6" max="6" width="15" customWidth="1"/>
    <col min="7" max="7" width="16" customWidth="1"/>
    <col min="8" max="9" width="18" customWidth="1"/>
    <col min="10" max="11" width="14" customWidth="1"/>
    <col min="12" max="13" width="20" customWidth="1"/>
    <col min="14" max="14" width="16" customWidth="1"/>
    <col min="15" max="15" width="18" customWidth="1"/>
    <col min="16" max="16" width="22" customWidth="1"/>
  </cols>
  <sheetData>
    <row r="1" ht="31.5" customHeight="1" spans="1:16">
      <c r="A1" s="1" t="s">
        <v>62</v>
      </c>
      <c r="B1" s="1" t="s">
        <v>63</v>
      </c>
      <c r="C1" s="1" t="s">
        <v>69</v>
      </c>
      <c r="D1" s="1" t="s">
        <v>70</v>
      </c>
      <c r="E1" s="1" t="s">
        <v>73</v>
      </c>
      <c r="F1" s="1" t="s">
        <v>74</v>
      </c>
      <c r="G1" s="1" t="s">
        <v>75</v>
      </c>
      <c r="H1" s="1" t="s">
        <v>1165</v>
      </c>
      <c r="I1" s="1" t="s">
        <v>1166</v>
      </c>
      <c r="J1" s="1" t="s">
        <v>71</v>
      </c>
      <c r="K1" s="1" t="s">
        <v>1167</v>
      </c>
      <c r="L1" s="1" t="s">
        <v>1168</v>
      </c>
      <c r="M1" s="1" t="s">
        <v>1162</v>
      </c>
      <c r="N1" s="1" t="s">
        <v>1164</v>
      </c>
      <c r="O1" s="1" t="s">
        <v>1169</v>
      </c>
      <c r="P1" s="1" t="s">
        <v>1170</v>
      </c>
    </row>
    <row r="2" customHeight="1" spans="1:16">
      <c r="A2" s="3" t="s">
        <v>79</v>
      </c>
      <c r="B2" s="3" t="s">
        <v>80</v>
      </c>
      <c r="C2" s="3">
        <v>65492</v>
      </c>
      <c r="D2" s="3">
        <v>26672</v>
      </c>
      <c r="E2" s="3">
        <v>1250000</v>
      </c>
      <c r="F2" s="3">
        <v>84</v>
      </c>
      <c r="G2" s="3">
        <v>11.06</v>
      </c>
      <c r="H2" s="3">
        <v>21442.5002966384</v>
      </c>
      <c r="I2" s="12">
        <v>73.4662253353668</v>
      </c>
      <c r="J2" s="3">
        <v>668</v>
      </c>
      <c r="K2" s="3" t="b">
        <f>FALSE()</f>
        <v>0</v>
      </c>
      <c r="L2" s="3" t="b">
        <f>FALSE()</f>
        <v>0</v>
      </c>
      <c r="M2" s="3" t="s">
        <v>1171</v>
      </c>
      <c r="N2" s="3" t="s">
        <v>85</v>
      </c>
      <c r="O2" s="3" t="b">
        <f>FALSE()</f>
        <v>0</v>
      </c>
      <c r="P2" s="3" t="s">
        <v>1172</v>
      </c>
    </row>
    <row r="3" customHeight="1" spans="1:16">
      <c r="A3" s="3" t="s">
        <v>86</v>
      </c>
      <c r="B3" s="3" t="s">
        <v>87</v>
      </c>
      <c r="C3" s="3">
        <v>28588</v>
      </c>
      <c r="D3" s="3">
        <v>0</v>
      </c>
      <c r="E3" s="3">
        <v>610000</v>
      </c>
      <c r="F3" s="3">
        <v>60</v>
      </c>
      <c r="G3" s="3">
        <v>9.8</v>
      </c>
      <c r="H3" s="3">
        <v>12900.7499389288</v>
      </c>
      <c r="I3" s="12">
        <v>45.1264514444131</v>
      </c>
      <c r="J3" s="3">
        <v>624</v>
      </c>
      <c r="K3" s="3" t="b">
        <f>TRUE()</f>
        <v>1</v>
      </c>
      <c r="L3" s="3" t="b">
        <f>FALSE()</f>
        <v>0</v>
      </c>
      <c r="M3" s="3" t="s">
        <v>1171</v>
      </c>
      <c r="N3" s="3" t="s">
        <v>91</v>
      </c>
      <c r="O3" s="3" t="b">
        <f>TRUE()</f>
        <v>1</v>
      </c>
      <c r="P3" s="3" t="s">
        <v>1173</v>
      </c>
    </row>
    <row r="4" customHeight="1" spans="1:16">
      <c r="A4" s="3" t="s">
        <v>92</v>
      </c>
      <c r="B4" s="3" t="s">
        <v>93</v>
      </c>
      <c r="C4" s="3">
        <v>39282</v>
      </c>
      <c r="D4" s="3">
        <v>0</v>
      </c>
      <c r="E4" s="3">
        <v>640000</v>
      </c>
      <c r="F4" s="3">
        <v>60</v>
      </c>
      <c r="G4" s="3">
        <v>13.83</v>
      </c>
      <c r="H4" s="3">
        <v>14835.334725978</v>
      </c>
      <c r="I4" s="12">
        <v>37.7662408379867</v>
      </c>
      <c r="J4" s="3">
        <v>880</v>
      </c>
      <c r="K4" s="3" t="b">
        <f>TRUE()</f>
        <v>1</v>
      </c>
      <c r="L4" s="3" t="b">
        <f>TRUE()</f>
        <v>1</v>
      </c>
      <c r="M4" s="3" t="s">
        <v>1174</v>
      </c>
      <c r="N4" s="3" t="s">
        <v>85</v>
      </c>
      <c r="O4" s="3" t="b">
        <f>TRUE()</f>
        <v>1</v>
      </c>
      <c r="P4" s="3" t="s">
        <v>1175</v>
      </c>
    </row>
    <row r="5" customHeight="1" spans="1:16">
      <c r="A5" s="3" t="s">
        <v>96</v>
      </c>
      <c r="B5" s="3" t="s">
        <v>97</v>
      </c>
      <c r="C5" s="3">
        <v>72926</v>
      </c>
      <c r="D5" s="3">
        <v>24175</v>
      </c>
      <c r="E5" s="3">
        <v>1230000</v>
      </c>
      <c r="F5" s="3">
        <v>60</v>
      </c>
      <c r="G5" s="3">
        <v>14.27</v>
      </c>
      <c r="H5" s="3">
        <v>28792.4128336621</v>
      </c>
      <c r="I5" s="12">
        <v>72.6317264537505</v>
      </c>
      <c r="J5" s="3">
        <v>657</v>
      </c>
      <c r="K5" s="3" t="b">
        <f>FALSE()</f>
        <v>0</v>
      </c>
      <c r="L5" s="3" t="b">
        <f>FALSE()</f>
        <v>0</v>
      </c>
      <c r="M5" s="3" t="s">
        <v>1171</v>
      </c>
      <c r="N5" s="3" t="s">
        <v>91</v>
      </c>
      <c r="O5" s="3" t="b">
        <f>TRUE()</f>
        <v>1</v>
      </c>
      <c r="P5" s="3" t="s">
        <v>1173</v>
      </c>
    </row>
    <row r="6" customHeight="1" spans="1:16">
      <c r="A6" s="3" t="s">
        <v>99</v>
      </c>
      <c r="B6" s="3" t="s">
        <v>100</v>
      </c>
      <c r="C6" s="3">
        <v>41783</v>
      </c>
      <c r="D6" s="3">
        <v>0</v>
      </c>
      <c r="E6" s="3">
        <v>460000</v>
      </c>
      <c r="F6" s="3">
        <v>60</v>
      </c>
      <c r="G6" s="3">
        <v>9.69</v>
      </c>
      <c r="H6" s="3">
        <v>9703.62349461608</v>
      </c>
      <c r="I6" s="12">
        <v>23.2238553828497</v>
      </c>
      <c r="J6" s="3">
        <v>751</v>
      </c>
      <c r="K6" s="3" t="b">
        <f>TRUE()</f>
        <v>1</v>
      </c>
      <c r="L6" s="3" t="b">
        <f>TRUE()</f>
        <v>1</v>
      </c>
      <c r="M6" s="3" t="s">
        <v>1174</v>
      </c>
      <c r="N6" s="3" t="s">
        <v>91</v>
      </c>
      <c r="O6" s="3" t="b">
        <f>FALSE()</f>
        <v>0</v>
      </c>
      <c r="P6" s="3" t="s">
        <v>1176</v>
      </c>
    </row>
    <row r="7" customHeight="1" spans="1:16">
      <c r="A7" s="3" t="s">
        <v>101</v>
      </c>
      <c r="B7" s="3" t="s">
        <v>102</v>
      </c>
      <c r="C7" s="3">
        <v>105880</v>
      </c>
      <c r="D7" s="3">
        <v>37735</v>
      </c>
      <c r="E7" s="3">
        <v>360000</v>
      </c>
      <c r="F7" s="3">
        <v>60</v>
      </c>
      <c r="G7" s="3">
        <v>9.6</v>
      </c>
      <c r="H7" s="3">
        <v>7578.27502689045</v>
      </c>
      <c r="I7" s="12">
        <v>42.7968218992165</v>
      </c>
      <c r="J7" s="3">
        <v>691</v>
      </c>
      <c r="K7" s="3" t="b">
        <f>TRUE()</f>
        <v>1</v>
      </c>
      <c r="L7" s="3" t="b">
        <f>FALSE()</f>
        <v>0</v>
      </c>
      <c r="M7" s="3" t="s">
        <v>1171</v>
      </c>
      <c r="N7" s="3" t="s">
        <v>85</v>
      </c>
      <c r="O7" s="3" t="b">
        <f>FALSE()</f>
        <v>0</v>
      </c>
      <c r="P7" s="3" t="s">
        <v>1172</v>
      </c>
    </row>
    <row r="8" customHeight="1" spans="1:16">
      <c r="A8" s="3" t="s">
        <v>104</v>
      </c>
      <c r="B8" s="3" t="s">
        <v>105</v>
      </c>
      <c r="C8" s="3">
        <v>34761</v>
      </c>
      <c r="D8" s="3">
        <v>7726</v>
      </c>
      <c r="E8" s="3">
        <v>1030000</v>
      </c>
      <c r="F8" s="3">
        <v>60</v>
      </c>
      <c r="G8" s="3">
        <v>10.57</v>
      </c>
      <c r="H8" s="3">
        <v>22174.4511220138</v>
      </c>
      <c r="I8" s="12">
        <v>86.0172351831473</v>
      </c>
      <c r="J8" s="3">
        <v>799</v>
      </c>
      <c r="K8" s="3" t="b">
        <f>FALSE()</f>
        <v>0</v>
      </c>
      <c r="L8" s="3" t="b">
        <f>TRUE()</f>
        <v>1</v>
      </c>
      <c r="M8" s="3" t="s">
        <v>1171</v>
      </c>
      <c r="N8" s="3" t="s">
        <v>85</v>
      </c>
      <c r="O8" s="3" t="b">
        <f>FALSE()</f>
        <v>0</v>
      </c>
      <c r="P8" s="3" t="s">
        <v>1172</v>
      </c>
    </row>
    <row r="9" customHeight="1" spans="1:16">
      <c r="A9" s="3" t="s">
        <v>107</v>
      </c>
      <c r="B9" s="3" t="s">
        <v>108</v>
      </c>
      <c r="C9" s="3">
        <v>57306</v>
      </c>
      <c r="D9" s="3">
        <v>0</v>
      </c>
      <c r="E9" s="3">
        <v>1370000</v>
      </c>
      <c r="F9" s="3">
        <v>60</v>
      </c>
      <c r="G9" s="3">
        <v>14.76</v>
      </c>
      <c r="H9" s="3">
        <v>32419.8676435359</v>
      </c>
      <c r="I9" s="12">
        <v>56.5732517424631</v>
      </c>
      <c r="J9" s="3">
        <v>767</v>
      </c>
      <c r="K9" s="3" t="b">
        <f>FALSE()</f>
        <v>0</v>
      </c>
      <c r="L9" s="3" t="b">
        <f>TRUE()</f>
        <v>1</v>
      </c>
      <c r="M9" s="3" t="s">
        <v>1171</v>
      </c>
      <c r="N9" s="3" t="s">
        <v>85</v>
      </c>
      <c r="O9" s="3" t="b">
        <f>FALSE()</f>
        <v>0</v>
      </c>
      <c r="P9" s="3" t="s">
        <v>1172</v>
      </c>
    </row>
    <row r="10" customHeight="1" spans="1:16">
      <c r="A10" s="3" t="s">
        <v>111</v>
      </c>
      <c r="B10" s="3" t="s">
        <v>112</v>
      </c>
      <c r="C10" s="3">
        <v>88230</v>
      </c>
      <c r="D10" s="3">
        <v>13143</v>
      </c>
      <c r="E10" s="3">
        <v>1120000</v>
      </c>
      <c r="F10" s="3">
        <v>84</v>
      </c>
      <c r="G10" s="3">
        <v>10.45</v>
      </c>
      <c r="H10" s="3">
        <v>18854.7762899504</v>
      </c>
      <c r="I10" s="12">
        <v>36.2663224412902</v>
      </c>
      <c r="J10" s="3">
        <v>714</v>
      </c>
      <c r="K10" s="3" t="b">
        <f>TRUE()</f>
        <v>1</v>
      </c>
      <c r="L10" s="3" t="b">
        <f>TRUE()</f>
        <v>1</v>
      </c>
      <c r="M10" s="3" t="s">
        <v>1174</v>
      </c>
      <c r="N10" s="3" t="s">
        <v>85</v>
      </c>
      <c r="O10" s="3" t="b">
        <f>TRUE()</f>
        <v>1</v>
      </c>
      <c r="P10" s="3" t="s">
        <v>1175</v>
      </c>
    </row>
    <row r="11" customHeight="1" spans="1:16">
      <c r="A11" s="3" t="s">
        <v>113</v>
      </c>
      <c r="B11" s="3" t="s">
        <v>114</v>
      </c>
      <c r="C11" s="3">
        <v>75780</v>
      </c>
      <c r="D11" s="3">
        <v>6290</v>
      </c>
      <c r="E11" s="3">
        <v>1800000</v>
      </c>
      <c r="F11" s="3">
        <v>60</v>
      </c>
      <c r="G11" s="3">
        <v>14.52</v>
      </c>
      <c r="H11" s="3">
        <v>42369.6888094742</v>
      </c>
      <c r="I11" s="12">
        <v>64.2117825408739</v>
      </c>
      <c r="J11" s="3">
        <v>824</v>
      </c>
      <c r="K11" s="3" t="b">
        <f>FALSE()</f>
        <v>0</v>
      </c>
      <c r="L11" s="3" t="b">
        <f>TRUE()</f>
        <v>1</v>
      </c>
      <c r="M11" s="3" t="s">
        <v>1171</v>
      </c>
      <c r="N11" s="3" t="s">
        <v>85</v>
      </c>
      <c r="O11" s="3" t="b">
        <f>FALSE()</f>
        <v>0</v>
      </c>
      <c r="P11" s="3" t="s">
        <v>1172</v>
      </c>
    </row>
    <row r="12" customHeight="1" spans="1:16">
      <c r="A12" s="3" t="s">
        <v>117</v>
      </c>
      <c r="B12" s="3" t="s">
        <v>118</v>
      </c>
      <c r="C12" s="3">
        <v>48021</v>
      </c>
      <c r="D12" s="3">
        <v>0</v>
      </c>
      <c r="E12" s="3">
        <v>380000</v>
      </c>
      <c r="F12" s="3">
        <v>48</v>
      </c>
      <c r="G12" s="3">
        <v>10.75</v>
      </c>
      <c r="H12" s="3">
        <v>9775.22756122201</v>
      </c>
      <c r="I12" s="12">
        <v>20.3561516028863</v>
      </c>
      <c r="J12" s="3">
        <v>752</v>
      </c>
      <c r="K12" s="3" t="b">
        <f>TRUE()</f>
        <v>1</v>
      </c>
      <c r="L12" s="3" t="b">
        <f>TRUE()</f>
        <v>1</v>
      </c>
      <c r="M12" s="3" t="s">
        <v>1174</v>
      </c>
      <c r="N12" s="3" t="s">
        <v>85</v>
      </c>
      <c r="O12" s="3" t="b">
        <f>TRUE()</f>
        <v>1</v>
      </c>
      <c r="P12" s="3" t="s">
        <v>1175</v>
      </c>
    </row>
    <row r="13" customHeight="1" spans="1:16">
      <c r="A13" s="3" t="s">
        <v>120</v>
      </c>
      <c r="B13" s="3" t="s">
        <v>121</v>
      </c>
      <c r="C13" s="3">
        <v>90536</v>
      </c>
      <c r="D13" s="3">
        <v>0</v>
      </c>
      <c r="E13" s="3">
        <v>1230000</v>
      </c>
      <c r="F13" s="3">
        <v>60</v>
      </c>
      <c r="G13" s="3">
        <v>14.98</v>
      </c>
      <c r="H13" s="3">
        <v>29248.7027502478</v>
      </c>
      <c r="I13" s="12">
        <v>32.3061574956346</v>
      </c>
      <c r="J13" s="3">
        <v>629</v>
      </c>
      <c r="K13" s="3" t="b">
        <f>TRUE()</f>
        <v>1</v>
      </c>
      <c r="L13" s="3" t="b">
        <f>FALSE()</f>
        <v>0</v>
      </c>
      <c r="M13" s="3" t="s">
        <v>1171</v>
      </c>
      <c r="N13" s="3" t="s">
        <v>85</v>
      </c>
      <c r="O13" s="3" t="b">
        <f>FALSE()</f>
        <v>0</v>
      </c>
      <c r="P13" s="3" t="s">
        <v>1172</v>
      </c>
    </row>
    <row r="14" customHeight="1" spans="1:16">
      <c r="A14" s="3" t="s">
        <v>123</v>
      </c>
      <c r="B14" s="3" t="s">
        <v>124</v>
      </c>
      <c r="C14" s="3">
        <v>51589</v>
      </c>
      <c r="D14" s="3">
        <v>0</v>
      </c>
      <c r="E14" s="3">
        <v>1960000</v>
      </c>
      <c r="F14" s="3">
        <v>240</v>
      </c>
      <c r="G14" s="3">
        <v>9.7</v>
      </c>
      <c r="H14" s="3">
        <v>18526.5103069691</v>
      </c>
      <c r="I14" s="12">
        <v>35.9117453468163</v>
      </c>
      <c r="J14" s="3">
        <v>751</v>
      </c>
      <c r="K14" s="3" t="b">
        <f>TRUE()</f>
        <v>1</v>
      </c>
      <c r="L14" s="3" t="b">
        <f>TRUE()</f>
        <v>1</v>
      </c>
      <c r="M14" s="3" t="s">
        <v>1174</v>
      </c>
      <c r="N14" s="3" t="s">
        <v>85</v>
      </c>
      <c r="O14" s="3" t="b">
        <f>TRUE()</f>
        <v>1</v>
      </c>
      <c r="P14" s="3" t="s">
        <v>1175</v>
      </c>
    </row>
    <row r="15" customHeight="1" spans="1:16">
      <c r="A15" s="3" t="s">
        <v>126</v>
      </c>
      <c r="B15" s="3" t="s">
        <v>127</v>
      </c>
      <c r="C15" s="3">
        <v>155225</v>
      </c>
      <c r="D15" s="3">
        <v>63923</v>
      </c>
      <c r="E15" s="3">
        <v>800000</v>
      </c>
      <c r="F15" s="3">
        <v>48</v>
      </c>
      <c r="G15" s="3">
        <v>11.59</v>
      </c>
      <c r="H15" s="3">
        <v>20906.3830927513</v>
      </c>
      <c r="I15" s="12">
        <v>54.6493046176526</v>
      </c>
      <c r="J15" s="3">
        <v>690</v>
      </c>
      <c r="K15" s="3" t="b">
        <f t="shared" ref="K15:K21" si="0">FALSE()</f>
        <v>0</v>
      </c>
      <c r="L15" s="3" t="b">
        <f>FALSE()</f>
        <v>0</v>
      </c>
      <c r="M15" s="3" t="s">
        <v>1171</v>
      </c>
      <c r="N15" s="3" t="s">
        <v>91</v>
      </c>
      <c r="O15" s="3" t="b">
        <f>TRUE()</f>
        <v>1</v>
      </c>
      <c r="P15" s="3" t="s">
        <v>1173</v>
      </c>
    </row>
    <row r="16" customHeight="1" spans="1:16">
      <c r="A16" s="3" t="s">
        <v>129</v>
      </c>
      <c r="B16" s="3" t="s">
        <v>130</v>
      </c>
      <c r="C16" s="3">
        <v>18000</v>
      </c>
      <c r="D16" s="3">
        <v>3688</v>
      </c>
      <c r="E16" s="3">
        <v>240000</v>
      </c>
      <c r="F16" s="3">
        <v>36</v>
      </c>
      <c r="G16" s="3">
        <v>14.12</v>
      </c>
      <c r="H16" s="3">
        <v>8216.62598235046</v>
      </c>
      <c r="I16" s="12">
        <v>66.1368110130581</v>
      </c>
      <c r="J16" s="3">
        <v>679</v>
      </c>
      <c r="K16" s="3" t="b">
        <f t="shared" si="0"/>
        <v>0</v>
      </c>
      <c r="L16" s="3" t="b">
        <f>FALSE()</f>
        <v>0</v>
      </c>
      <c r="M16" s="3" t="s">
        <v>1171</v>
      </c>
      <c r="N16" s="3" t="s">
        <v>85</v>
      </c>
      <c r="O16" s="3" t="b">
        <f t="shared" ref="O16:O21" si="1">FALSE()</f>
        <v>0</v>
      </c>
      <c r="P16" s="3" t="s">
        <v>1172</v>
      </c>
    </row>
    <row r="17" customHeight="1" spans="1:16">
      <c r="A17" s="3" t="s">
        <v>132</v>
      </c>
      <c r="B17" s="3" t="s">
        <v>133</v>
      </c>
      <c r="C17" s="3">
        <v>92556</v>
      </c>
      <c r="D17" s="3">
        <v>34450</v>
      </c>
      <c r="E17" s="3">
        <v>770000</v>
      </c>
      <c r="F17" s="3">
        <v>84</v>
      </c>
      <c r="G17" s="3">
        <v>11.13</v>
      </c>
      <c r="H17" s="3">
        <v>13236.9666624751</v>
      </c>
      <c r="I17" s="12">
        <v>51.5222856027433</v>
      </c>
      <c r="J17" s="3">
        <v>845</v>
      </c>
      <c r="K17" s="3" t="b">
        <f t="shared" si="0"/>
        <v>0</v>
      </c>
      <c r="L17" s="3" t="b">
        <f>TRUE()</f>
        <v>1</v>
      </c>
      <c r="M17" s="3" t="s">
        <v>1171</v>
      </c>
      <c r="N17" s="3" t="s">
        <v>85</v>
      </c>
      <c r="O17" s="3" t="b">
        <f t="shared" si="1"/>
        <v>0</v>
      </c>
      <c r="P17" s="3" t="s">
        <v>1172</v>
      </c>
    </row>
    <row r="18" customHeight="1" spans="1:16">
      <c r="A18" s="3" t="s">
        <v>134</v>
      </c>
      <c r="B18" s="3" t="s">
        <v>135</v>
      </c>
      <c r="C18" s="3">
        <v>54869</v>
      </c>
      <c r="D18" s="3">
        <v>13436</v>
      </c>
      <c r="E18" s="3">
        <v>670000</v>
      </c>
      <c r="F18" s="3">
        <v>48</v>
      </c>
      <c r="G18" s="3">
        <v>10.81</v>
      </c>
      <c r="H18" s="3">
        <v>17254.7444314578</v>
      </c>
      <c r="I18" s="12">
        <v>55.9345795102112</v>
      </c>
      <c r="J18" s="3">
        <v>756</v>
      </c>
      <c r="K18" s="3" t="b">
        <f t="shared" si="0"/>
        <v>0</v>
      </c>
      <c r="L18" s="3" t="b">
        <f>TRUE()</f>
        <v>1</v>
      </c>
      <c r="M18" s="3" t="s">
        <v>1171</v>
      </c>
      <c r="N18" s="3" t="s">
        <v>85</v>
      </c>
      <c r="O18" s="3" t="b">
        <f t="shared" si="1"/>
        <v>0</v>
      </c>
      <c r="P18" s="3" t="s">
        <v>1172</v>
      </c>
    </row>
    <row r="19" customHeight="1" spans="1:16">
      <c r="A19" s="3" t="s">
        <v>136</v>
      </c>
      <c r="B19" s="3" t="s">
        <v>137</v>
      </c>
      <c r="C19" s="3">
        <v>66481</v>
      </c>
      <c r="D19" s="3">
        <v>29342</v>
      </c>
      <c r="E19" s="3">
        <v>400000</v>
      </c>
      <c r="F19" s="3">
        <v>36</v>
      </c>
      <c r="G19" s="3">
        <v>13.22</v>
      </c>
      <c r="H19" s="3">
        <v>13520.0061425935</v>
      </c>
      <c r="I19" s="12">
        <v>64.4725653082738</v>
      </c>
      <c r="J19" s="3">
        <v>643</v>
      </c>
      <c r="K19" s="3" t="b">
        <f t="shared" si="0"/>
        <v>0</v>
      </c>
      <c r="L19" s="3" t="b">
        <f>FALSE()</f>
        <v>0</v>
      </c>
      <c r="M19" s="3" t="s">
        <v>1171</v>
      </c>
      <c r="N19" s="3" t="s">
        <v>85</v>
      </c>
      <c r="O19" s="3" t="b">
        <f t="shared" si="1"/>
        <v>0</v>
      </c>
      <c r="P19" s="3" t="s">
        <v>1172</v>
      </c>
    </row>
    <row r="20" customHeight="1" spans="1:16">
      <c r="A20" s="3" t="s">
        <v>139</v>
      </c>
      <c r="B20" s="3" t="s">
        <v>140</v>
      </c>
      <c r="C20" s="3">
        <v>55142</v>
      </c>
      <c r="D20" s="3">
        <v>0</v>
      </c>
      <c r="E20" s="3">
        <v>3690000</v>
      </c>
      <c r="F20" s="3">
        <v>240</v>
      </c>
      <c r="G20" s="3">
        <v>9.45</v>
      </c>
      <c r="H20" s="3">
        <v>34275.2492303291</v>
      </c>
      <c r="I20" s="12">
        <v>62.1581539123157</v>
      </c>
      <c r="J20" s="3">
        <v>772</v>
      </c>
      <c r="K20" s="3" t="b">
        <f t="shared" si="0"/>
        <v>0</v>
      </c>
      <c r="L20" s="3" t="b">
        <f>TRUE()</f>
        <v>1</v>
      </c>
      <c r="M20" s="3" t="s">
        <v>1171</v>
      </c>
      <c r="N20" s="3" t="s">
        <v>85</v>
      </c>
      <c r="O20" s="3" t="b">
        <f t="shared" si="1"/>
        <v>0</v>
      </c>
      <c r="P20" s="3" t="s">
        <v>1172</v>
      </c>
    </row>
    <row r="21" customHeight="1" spans="1:16">
      <c r="A21" s="3" t="s">
        <v>141</v>
      </c>
      <c r="B21" s="3" t="s">
        <v>142</v>
      </c>
      <c r="C21" s="3">
        <v>79689</v>
      </c>
      <c r="D21" s="3">
        <v>0</v>
      </c>
      <c r="E21" s="3">
        <v>1850000</v>
      </c>
      <c r="F21" s="3">
        <v>60</v>
      </c>
      <c r="G21" s="3">
        <v>13.95</v>
      </c>
      <c r="H21" s="3">
        <v>42998.3236632764</v>
      </c>
      <c r="I21" s="12">
        <v>53.95766500179</v>
      </c>
      <c r="J21" s="3">
        <v>777</v>
      </c>
      <c r="K21" s="3" t="b">
        <f t="shared" si="0"/>
        <v>0</v>
      </c>
      <c r="L21" s="3" t="b">
        <f>TRUE()</f>
        <v>1</v>
      </c>
      <c r="M21" s="3" t="s">
        <v>1171</v>
      </c>
      <c r="N21" s="3" t="s">
        <v>85</v>
      </c>
      <c r="O21" s="3" t="b">
        <f t="shared" si="1"/>
        <v>0</v>
      </c>
      <c r="P21" s="3" t="s">
        <v>1172</v>
      </c>
    </row>
    <row r="22" customHeight="1" spans="1:16">
      <c r="A22" s="3" t="s">
        <v>143</v>
      </c>
      <c r="B22" s="3" t="s">
        <v>144</v>
      </c>
      <c r="C22" s="3">
        <v>47797</v>
      </c>
      <c r="D22" s="3">
        <v>814</v>
      </c>
      <c r="E22" s="3">
        <v>1010000</v>
      </c>
      <c r="F22" s="3">
        <v>84</v>
      </c>
      <c r="G22" s="3">
        <v>10.27</v>
      </c>
      <c r="H22" s="3">
        <v>16908.4351777647</v>
      </c>
      <c r="I22" s="12">
        <v>37.0785513269968</v>
      </c>
      <c r="J22" s="3">
        <v>747</v>
      </c>
      <c r="K22" s="3" t="b">
        <f>TRUE()</f>
        <v>1</v>
      </c>
      <c r="L22" s="3" t="b">
        <f>TRUE()</f>
        <v>1</v>
      </c>
      <c r="M22" s="3" t="s">
        <v>1174</v>
      </c>
      <c r="N22" s="3" t="s">
        <v>85</v>
      </c>
      <c r="O22" s="3" t="b">
        <f>TRUE()</f>
        <v>1</v>
      </c>
      <c r="P22" s="3" t="s">
        <v>1175</v>
      </c>
    </row>
    <row r="23" customHeight="1" spans="1:16">
      <c r="A23" s="3" t="s">
        <v>145</v>
      </c>
      <c r="B23" s="3" t="s">
        <v>146</v>
      </c>
      <c r="C23" s="3">
        <v>67204</v>
      </c>
      <c r="D23" s="3">
        <v>26322</v>
      </c>
      <c r="E23" s="3">
        <v>340000</v>
      </c>
      <c r="F23" s="3">
        <v>48</v>
      </c>
      <c r="G23" s="3">
        <v>11.5</v>
      </c>
      <c r="H23" s="3">
        <v>8870.26302799155</v>
      </c>
      <c r="I23" s="12">
        <v>52.3663219867739</v>
      </c>
      <c r="J23" s="3">
        <v>692</v>
      </c>
      <c r="K23" s="3" t="b">
        <f>FALSE()</f>
        <v>0</v>
      </c>
      <c r="L23" s="3" t="b">
        <f>FALSE()</f>
        <v>0</v>
      </c>
      <c r="M23" s="3" t="s">
        <v>1171</v>
      </c>
      <c r="N23" s="3" t="s">
        <v>85</v>
      </c>
      <c r="O23" s="3" t="b">
        <f>FALSE()</f>
        <v>0</v>
      </c>
      <c r="P23" s="3" t="s">
        <v>1172</v>
      </c>
    </row>
    <row r="24" customHeight="1" spans="1:16">
      <c r="A24" s="3" t="s">
        <v>147</v>
      </c>
      <c r="B24" s="3" t="s">
        <v>148</v>
      </c>
      <c r="C24" s="3">
        <v>97649</v>
      </c>
      <c r="D24" s="3">
        <v>0</v>
      </c>
      <c r="E24" s="3">
        <v>1010000</v>
      </c>
      <c r="F24" s="3">
        <v>84</v>
      </c>
      <c r="G24" s="3">
        <v>11.07</v>
      </c>
      <c r="H24" s="3">
        <v>17330.8566753716</v>
      </c>
      <c r="I24" s="12">
        <v>17.7481148556274</v>
      </c>
      <c r="J24" s="3">
        <v>782</v>
      </c>
      <c r="K24" s="3" t="b">
        <f>TRUE()</f>
        <v>1</v>
      </c>
      <c r="L24" s="3" t="b">
        <f>TRUE()</f>
        <v>1</v>
      </c>
      <c r="M24" s="3" t="s">
        <v>1174</v>
      </c>
      <c r="N24" s="3" t="s">
        <v>85</v>
      </c>
      <c r="O24" s="3" t="b">
        <f>TRUE()</f>
        <v>1</v>
      </c>
      <c r="P24" s="3" t="s">
        <v>1175</v>
      </c>
    </row>
    <row r="25" customHeight="1" spans="1:16">
      <c r="A25" s="3" t="s">
        <v>150</v>
      </c>
      <c r="B25" s="3" t="s">
        <v>151</v>
      </c>
      <c r="C25" s="3">
        <v>93635</v>
      </c>
      <c r="D25" s="3">
        <v>15261</v>
      </c>
      <c r="E25" s="3">
        <v>340000</v>
      </c>
      <c r="F25" s="3">
        <v>48</v>
      </c>
      <c r="G25" s="3">
        <v>10.73</v>
      </c>
      <c r="H25" s="3">
        <v>8742.96346019096</v>
      </c>
      <c r="I25" s="12">
        <v>25.6356741177882</v>
      </c>
      <c r="J25" s="3">
        <v>669</v>
      </c>
      <c r="K25" s="3" t="b">
        <f>TRUE()</f>
        <v>1</v>
      </c>
      <c r="L25" s="3" t="b">
        <f>FALSE()</f>
        <v>0</v>
      </c>
      <c r="M25" s="3" t="s">
        <v>1171</v>
      </c>
      <c r="N25" s="3" t="s">
        <v>85</v>
      </c>
      <c r="O25" s="3" t="b">
        <f>FALSE()</f>
        <v>0</v>
      </c>
      <c r="P25" s="3" t="s">
        <v>1172</v>
      </c>
    </row>
    <row r="26" customHeight="1" spans="1:16">
      <c r="A26" s="3" t="s">
        <v>153</v>
      </c>
      <c r="B26" s="3" t="s">
        <v>154</v>
      </c>
      <c r="C26" s="3">
        <v>29971</v>
      </c>
      <c r="D26" s="3">
        <v>13433</v>
      </c>
      <c r="E26" s="3">
        <v>1390000</v>
      </c>
      <c r="F26" s="3">
        <v>84</v>
      </c>
      <c r="G26" s="3">
        <v>11.67</v>
      </c>
      <c r="H26" s="3">
        <v>24292.671105205</v>
      </c>
      <c r="I26" s="12">
        <v>125.873915135314</v>
      </c>
      <c r="J26" s="3">
        <v>668</v>
      </c>
      <c r="K26" s="3" t="b">
        <f>FALSE()</f>
        <v>0</v>
      </c>
      <c r="L26" s="3" t="b">
        <f>FALSE()</f>
        <v>0</v>
      </c>
      <c r="M26" s="3" t="s">
        <v>1171</v>
      </c>
      <c r="N26" s="3" t="s">
        <v>85</v>
      </c>
      <c r="O26" s="3" t="b">
        <f>FALSE()</f>
        <v>0</v>
      </c>
      <c r="P26" s="3" t="s">
        <v>1172</v>
      </c>
    </row>
    <row r="27" customHeight="1" spans="1:16">
      <c r="A27" s="3" t="s">
        <v>155</v>
      </c>
      <c r="B27" s="3" t="s">
        <v>156</v>
      </c>
      <c r="C27" s="3">
        <v>74477</v>
      </c>
      <c r="D27" s="3">
        <v>0</v>
      </c>
      <c r="E27" s="3">
        <v>1270000</v>
      </c>
      <c r="F27" s="3">
        <v>84</v>
      </c>
      <c r="G27" s="3">
        <v>11.1</v>
      </c>
      <c r="H27" s="3">
        <v>21812.327279471</v>
      </c>
      <c r="I27" s="12">
        <v>29.2873333773796</v>
      </c>
      <c r="J27" s="3">
        <v>715</v>
      </c>
      <c r="K27" s="3" t="b">
        <f>TRUE()</f>
        <v>1</v>
      </c>
      <c r="L27" s="3" t="b">
        <f>TRUE()</f>
        <v>1</v>
      </c>
      <c r="M27" s="3" t="s">
        <v>1174</v>
      </c>
      <c r="N27" s="3" t="s">
        <v>85</v>
      </c>
      <c r="O27" s="3" t="b">
        <f>TRUE()</f>
        <v>1</v>
      </c>
      <c r="P27" s="3" t="s">
        <v>1175</v>
      </c>
    </row>
    <row r="28" customHeight="1" spans="1:16">
      <c r="A28" s="3" t="s">
        <v>158</v>
      </c>
      <c r="B28" s="3" t="s">
        <v>159</v>
      </c>
      <c r="C28" s="3">
        <v>80352</v>
      </c>
      <c r="D28" s="3">
        <v>32137</v>
      </c>
      <c r="E28" s="3">
        <v>1110000</v>
      </c>
      <c r="F28" s="3">
        <v>84</v>
      </c>
      <c r="G28" s="3">
        <v>11.32</v>
      </c>
      <c r="H28" s="3">
        <v>19193.1791686646</v>
      </c>
      <c r="I28" s="12">
        <v>63.881644724045</v>
      </c>
      <c r="J28" s="3">
        <v>700</v>
      </c>
      <c r="K28" s="3" t="b">
        <f>FALSE()</f>
        <v>0</v>
      </c>
      <c r="L28" s="3" t="b">
        <f>TRUE()</f>
        <v>1</v>
      </c>
      <c r="M28" s="3" t="s">
        <v>1171</v>
      </c>
      <c r="N28" s="3" t="s">
        <v>85</v>
      </c>
      <c r="O28" s="3" t="b">
        <f>FALSE()</f>
        <v>0</v>
      </c>
      <c r="P28" s="3" t="s">
        <v>1172</v>
      </c>
    </row>
    <row r="29" customHeight="1" spans="1:16">
      <c r="A29" s="3" t="s">
        <v>160</v>
      </c>
      <c r="B29" s="3" t="s">
        <v>161</v>
      </c>
      <c r="C29" s="3">
        <v>47584</v>
      </c>
      <c r="D29" s="3">
        <v>0</v>
      </c>
      <c r="E29" s="3">
        <v>310000</v>
      </c>
      <c r="F29" s="3">
        <v>48</v>
      </c>
      <c r="G29" s="3">
        <v>11.3</v>
      </c>
      <c r="H29" s="3">
        <v>8057.35054742348</v>
      </c>
      <c r="I29" s="12">
        <v>16.9328987630789</v>
      </c>
      <c r="J29" s="3">
        <v>556</v>
      </c>
      <c r="K29" s="3" t="b">
        <f>TRUE()</f>
        <v>1</v>
      </c>
      <c r="L29" s="3" t="b">
        <f>FALSE()</f>
        <v>0</v>
      </c>
      <c r="M29" s="3" t="s">
        <v>1171</v>
      </c>
      <c r="N29" s="3" t="s">
        <v>85</v>
      </c>
      <c r="O29" s="3" t="b">
        <f>FALSE()</f>
        <v>0</v>
      </c>
      <c r="P29" s="3" t="s">
        <v>1172</v>
      </c>
    </row>
    <row r="30" customHeight="1" spans="1:16">
      <c r="A30" s="3" t="s">
        <v>163</v>
      </c>
      <c r="B30" s="3" t="s">
        <v>164</v>
      </c>
      <c r="C30" s="3">
        <v>40206</v>
      </c>
      <c r="D30" s="3">
        <v>2380</v>
      </c>
      <c r="E30" s="3">
        <v>700000</v>
      </c>
      <c r="F30" s="3">
        <v>60</v>
      </c>
      <c r="G30" s="3">
        <v>9.47</v>
      </c>
      <c r="H30" s="3">
        <v>14691.0425164644</v>
      </c>
      <c r="I30" s="12">
        <v>42.4589427360701</v>
      </c>
      <c r="J30" s="3">
        <v>784</v>
      </c>
      <c r="K30" s="3" t="b">
        <f>TRUE()</f>
        <v>1</v>
      </c>
      <c r="L30" s="3" t="b">
        <f>TRUE()</f>
        <v>1</v>
      </c>
      <c r="M30" s="3" t="s">
        <v>1174</v>
      </c>
      <c r="N30" s="3" t="s">
        <v>85</v>
      </c>
      <c r="O30" s="3" t="b">
        <f>TRUE()</f>
        <v>1</v>
      </c>
      <c r="P30" s="3" t="s">
        <v>1175</v>
      </c>
    </row>
    <row r="31" customHeight="1" spans="1:16">
      <c r="A31" s="3" t="s">
        <v>165</v>
      </c>
      <c r="B31" s="3" t="s">
        <v>166</v>
      </c>
      <c r="C31" s="3">
        <v>50462</v>
      </c>
      <c r="D31" s="3">
        <v>5636</v>
      </c>
      <c r="E31" s="3">
        <v>3780000</v>
      </c>
      <c r="F31" s="3">
        <v>240</v>
      </c>
      <c r="G31" s="3">
        <v>9.6</v>
      </c>
      <c r="H31" s="3">
        <v>35481.7644652795</v>
      </c>
      <c r="I31" s="12">
        <v>81.4826294345834</v>
      </c>
      <c r="J31" s="3">
        <v>735</v>
      </c>
      <c r="K31" s="3" t="b">
        <f>FALSE()</f>
        <v>0</v>
      </c>
      <c r="L31" s="3" t="b">
        <f>TRUE()</f>
        <v>1</v>
      </c>
      <c r="M31" s="3" t="s">
        <v>1171</v>
      </c>
      <c r="N31" s="3" t="s">
        <v>85</v>
      </c>
      <c r="O31" s="3" t="b">
        <f>FALSE()</f>
        <v>0</v>
      </c>
      <c r="P31" s="3" t="s">
        <v>1172</v>
      </c>
    </row>
    <row r="32" customHeight="1" spans="1:16">
      <c r="A32" s="3" t="s">
        <v>167</v>
      </c>
      <c r="B32" s="3" t="s">
        <v>168</v>
      </c>
      <c r="C32" s="3">
        <v>39609</v>
      </c>
      <c r="D32" s="3">
        <v>0</v>
      </c>
      <c r="E32" s="3">
        <v>330000</v>
      </c>
      <c r="F32" s="3">
        <v>36</v>
      </c>
      <c r="G32" s="3">
        <v>13.11</v>
      </c>
      <c r="H32" s="3">
        <v>11136.4965603913</v>
      </c>
      <c r="I32" s="12">
        <v>28.1160760443115</v>
      </c>
      <c r="J32" s="3">
        <v>685</v>
      </c>
      <c r="K32" s="3" t="b">
        <f>TRUE()</f>
        <v>1</v>
      </c>
      <c r="L32" s="3" t="b">
        <f>FALSE()</f>
        <v>0</v>
      </c>
      <c r="M32" s="3" t="s">
        <v>1171</v>
      </c>
      <c r="N32" s="3" t="s">
        <v>85</v>
      </c>
      <c r="O32" s="3" t="b">
        <f>FALSE()</f>
        <v>0</v>
      </c>
      <c r="P32" s="3" t="s">
        <v>1172</v>
      </c>
    </row>
    <row r="33" customHeight="1" spans="1:16">
      <c r="A33" s="3" t="s">
        <v>170</v>
      </c>
      <c r="B33" s="3" t="s">
        <v>171</v>
      </c>
      <c r="C33" s="3">
        <v>72614</v>
      </c>
      <c r="D33" s="3">
        <v>17817</v>
      </c>
      <c r="E33" s="3">
        <v>770000</v>
      </c>
      <c r="F33" s="3">
        <v>60</v>
      </c>
      <c r="G33" s="3">
        <v>10.54</v>
      </c>
      <c r="H33" s="3">
        <v>16565.5651066379</v>
      </c>
      <c r="I33" s="12">
        <v>47.3497742950917</v>
      </c>
      <c r="J33" s="3">
        <v>786</v>
      </c>
      <c r="K33" s="3" t="b">
        <f>TRUE()</f>
        <v>1</v>
      </c>
      <c r="L33" s="3" t="b">
        <f>TRUE()</f>
        <v>1</v>
      </c>
      <c r="M33" s="3" t="s">
        <v>1174</v>
      </c>
      <c r="N33" s="3" t="s">
        <v>85</v>
      </c>
      <c r="O33" s="3" t="b">
        <f>TRUE()</f>
        <v>1</v>
      </c>
      <c r="P33" s="3" t="s">
        <v>1175</v>
      </c>
    </row>
    <row r="34" customHeight="1" spans="1:16">
      <c r="A34" s="3" t="s">
        <v>173</v>
      </c>
      <c r="B34" s="3" t="s">
        <v>174</v>
      </c>
      <c r="C34" s="3">
        <v>170408</v>
      </c>
      <c r="D34" s="3">
        <v>0</v>
      </c>
      <c r="E34" s="3">
        <v>1270000</v>
      </c>
      <c r="F34" s="3">
        <v>84</v>
      </c>
      <c r="G34" s="3">
        <v>10.88</v>
      </c>
      <c r="H34" s="3">
        <v>21665.4462982391</v>
      </c>
      <c r="I34" s="12">
        <v>12.7138668948871</v>
      </c>
      <c r="J34" s="3">
        <v>656</v>
      </c>
      <c r="K34" s="3" t="b">
        <f>TRUE()</f>
        <v>1</v>
      </c>
      <c r="L34" s="3" t="b">
        <f>FALSE()</f>
        <v>0</v>
      </c>
      <c r="M34" s="3" t="s">
        <v>1171</v>
      </c>
      <c r="N34" s="3" t="s">
        <v>85</v>
      </c>
      <c r="O34" s="3" t="b">
        <f>FALSE()</f>
        <v>0</v>
      </c>
      <c r="P34" s="3" t="s">
        <v>1172</v>
      </c>
    </row>
    <row r="35" customHeight="1" spans="1:16">
      <c r="A35" s="3" t="s">
        <v>175</v>
      </c>
      <c r="B35" s="3" t="s">
        <v>176</v>
      </c>
      <c r="C35" s="3">
        <v>220752</v>
      </c>
      <c r="D35" s="3">
        <v>61499</v>
      </c>
      <c r="E35" s="3">
        <v>460000</v>
      </c>
      <c r="F35" s="3">
        <v>60</v>
      </c>
      <c r="G35" s="3">
        <v>10.07</v>
      </c>
      <c r="H35" s="3">
        <v>9789.49181797426</v>
      </c>
      <c r="I35" s="12">
        <v>32.2934749483467</v>
      </c>
      <c r="J35" s="3">
        <v>719</v>
      </c>
      <c r="K35" s="3" t="b">
        <f>TRUE()</f>
        <v>1</v>
      </c>
      <c r="L35" s="3" t="b">
        <f>TRUE()</f>
        <v>1</v>
      </c>
      <c r="M35" s="3" t="s">
        <v>1174</v>
      </c>
      <c r="N35" s="3" t="s">
        <v>85</v>
      </c>
      <c r="O35" s="3" t="b">
        <f>TRUE()</f>
        <v>1</v>
      </c>
      <c r="P35" s="3" t="s">
        <v>1175</v>
      </c>
    </row>
    <row r="36" customHeight="1" spans="1:16">
      <c r="A36" s="3" t="s">
        <v>177</v>
      </c>
      <c r="B36" s="3" t="s">
        <v>178</v>
      </c>
      <c r="C36" s="3">
        <v>50733</v>
      </c>
      <c r="D36" s="3">
        <v>19304</v>
      </c>
      <c r="E36" s="3">
        <v>590000</v>
      </c>
      <c r="F36" s="3">
        <v>60</v>
      </c>
      <c r="G36" s="3">
        <v>14</v>
      </c>
      <c r="H36" s="3">
        <v>13728.2680011387</v>
      </c>
      <c r="I36" s="12">
        <v>65.1100230641569</v>
      </c>
      <c r="J36" s="3">
        <v>796</v>
      </c>
      <c r="K36" s="3" t="b">
        <f>FALSE()</f>
        <v>0</v>
      </c>
      <c r="L36" s="3" t="b">
        <f>TRUE()</f>
        <v>1</v>
      </c>
      <c r="M36" s="3" t="s">
        <v>1171</v>
      </c>
      <c r="N36" s="3" t="s">
        <v>91</v>
      </c>
      <c r="O36" s="3" t="b">
        <f>TRUE()</f>
        <v>1</v>
      </c>
      <c r="P36" s="3" t="s">
        <v>1173</v>
      </c>
    </row>
    <row r="37" customHeight="1" spans="1:16">
      <c r="A37" s="3" t="s">
        <v>180</v>
      </c>
      <c r="B37" s="3" t="s">
        <v>181</v>
      </c>
      <c r="C37" s="3">
        <v>124552</v>
      </c>
      <c r="D37" s="3">
        <v>0</v>
      </c>
      <c r="E37" s="3">
        <v>680000</v>
      </c>
      <c r="F37" s="3">
        <v>48</v>
      </c>
      <c r="G37" s="3">
        <v>11.49</v>
      </c>
      <c r="H37" s="3">
        <v>17737.2057037112</v>
      </c>
      <c r="I37" s="12">
        <v>14.2408036030824</v>
      </c>
      <c r="J37" s="3">
        <v>696</v>
      </c>
      <c r="K37" s="3" t="b">
        <f t="shared" ref="K37:K42" si="2">TRUE()</f>
        <v>1</v>
      </c>
      <c r="L37" s="3" t="b">
        <f>FALSE()</f>
        <v>0</v>
      </c>
      <c r="M37" s="3" t="s">
        <v>1171</v>
      </c>
      <c r="N37" s="3" t="s">
        <v>85</v>
      </c>
      <c r="O37" s="3" t="b">
        <f>FALSE()</f>
        <v>0</v>
      </c>
      <c r="P37" s="3" t="s">
        <v>1172</v>
      </c>
    </row>
    <row r="38" customHeight="1" spans="1:16">
      <c r="A38" s="3" t="s">
        <v>183</v>
      </c>
      <c r="B38" s="3" t="s">
        <v>184</v>
      </c>
      <c r="C38" s="3">
        <v>72559</v>
      </c>
      <c r="D38" s="3">
        <v>0</v>
      </c>
      <c r="E38" s="3">
        <v>790000</v>
      </c>
      <c r="F38" s="3">
        <v>48</v>
      </c>
      <c r="G38" s="3">
        <v>11.89</v>
      </c>
      <c r="H38" s="3">
        <v>20761.0884288864</v>
      </c>
      <c r="I38" s="12">
        <v>28.6126992225449</v>
      </c>
      <c r="J38" s="3">
        <v>715</v>
      </c>
      <c r="K38" s="3" t="b">
        <f t="shared" si="2"/>
        <v>1</v>
      </c>
      <c r="L38" s="3" t="b">
        <f>TRUE()</f>
        <v>1</v>
      </c>
      <c r="M38" s="3" t="s">
        <v>1174</v>
      </c>
      <c r="N38" s="3" t="s">
        <v>85</v>
      </c>
      <c r="O38" s="3" t="b">
        <f>TRUE()</f>
        <v>1</v>
      </c>
      <c r="P38" s="3" t="s">
        <v>1175</v>
      </c>
    </row>
    <row r="39" customHeight="1" spans="1:16">
      <c r="A39" s="3" t="s">
        <v>185</v>
      </c>
      <c r="B39" s="3" t="s">
        <v>186</v>
      </c>
      <c r="C39" s="3">
        <v>30322</v>
      </c>
      <c r="D39" s="3">
        <v>0</v>
      </c>
      <c r="E39" s="3">
        <v>680000</v>
      </c>
      <c r="F39" s="3">
        <v>60</v>
      </c>
      <c r="G39" s="3">
        <v>9.94</v>
      </c>
      <c r="H39" s="3">
        <v>14427.9233281826</v>
      </c>
      <c r="I39" s="12">
        <v>47.5823604253763</v>
      </c>
      <c r="J39" s="3">
        <v>872</v>
      </c>
      <c r="K39" s="3" t="b">
        <f t="shared" si="2"/>
        <v>1</v>
      </c>
      <c r="L39" s="3" t="b">
        <f>TRUE()</f>
        <v>1</v>
      </c>
      <c r="M39" s="3" t="s">
        <v>1174</v>
      </c>
      <c r="N39" s="3" t="s">
        <v>85</v>
      </c>
      <c r="O39" s="3" t="b">
        <f>TRUE()</f>
        <v>1</v>
      </c>
      <c r="P39" s="3" t="s">
        <v>1175</v>
      </c>
    </row>
    <row r="40" customHeight="1" spans="1:16">
      <c r="A40" s="3" t="s">
        <v>187</v>
      </c>
      <c r="B40" s="3" t="s">
        <v>188</v>
      </c>
      <c r="C40" s="3">
        <v>93164</v>
      </c>
      <c r="D40" s="3">
        <v>0</v>
      </c>
      <c r="E40" s="3">
        <v>1470000</v>
      </c>
      <c r="F40" s="3">
        <v>60</v>
      </c>
      <c r="G40" s="3">
        <v>13.81</v>
      </c>
      <c r="H40" s="3">
        <v>34059.7018253419</v>
      </c>
      <c r="I40" s="12">
        <v>36.5588658981387</v>
      </c>
      <c r="J40" s="3">
        <v>643</v>
      </c>
      <c r="K40" s="3" t="b">
        <f t="shared" si="2"/>
        <v>1</v>
      </c>
      <c r="L40" s="3" t="b">
        <f>FALSE()</f>
        <v>0</v>
      </c>
      <c r="M40" s="3" t="s">
        <v>1171</v>
      </c>
      <c r="N40" s="3" t="s">
        <v>85</v>
      </c>
      <c r="O40" s="3" t="b">
        <f>FALSE()</f>
        <v>0</v>
      </c>
      <c r="P40" s="3" t="s">
        <v>1172</v>
      </c>
    </row>
    <row r="41" customHeight="1" spans="1:16">
      <c r="A41" s="3" t="s">
        <v>189</v>
      </c>
      <c r="B41" s="3" t="s">
        <v>190</v>
      </c>
      <c r="C41" s="3">
        <v>45361</v>
      </c>
      <c r="D41" s="3">
        <v>0</v>
      </c>
      <c r="E41" s="3">
        <v>420000</v>
      </c>
      <c r="F41" s="3">
        <v>48</v>
      </c>
      <c r="G41" s="3">
        <v>11.93</v>
      </c>
      <c r="H41" s="3">
        <v>11045.7812465366</v>
      </c>
      <c r="I41" s="12">
        <v>24.3508327561928</v>
      </c>
      <c r="J41" s="3">
        <v>741</v>
      </c>
      <c r="K41" s="3" t="b">
        <f t="shared" si="2"/>
        <v>1</v>
      </c>
      <c r="L41" s="3" t="b">
        <f>TRUE()</f>
        <v>1</v>
      </c>
      <c r="M41" s="3" t="s">
        <v>1174</v>
      </c>
      <c r="N41" s="3" t="s">
        <v>85</v>
      </c>
      <c r="O41" s="3" t="b">
        <f>TRUE()</f>
        <v>1</v>
      </c>
      <c r="P41" s="3" t="s">
        <v>1175</v>
      </c>
    </row>
    <row r="42" customHeight="1" spans="1:16">
      <c r="A42" s="3" t="s">
        <v>191</v>
      </c>
      <c r="B42" s="3" t="s">
        <v>192</v>
      </c>
      <c r="C42" s="3">
        <v>34350</v>
      </c>
      <c r="D42" s="3">
        <v>0</v>
      </c>
      <c r="E42" s="3">
        <v>170000</v>
      </c>
      <c r="F42" s="3">
        <v>48</v>
      </c>
      <c r="G42" s="3">
        <v>10.73</v>
      </c>
      <c r="H42" s="3">
        <v>4371.48173009548</v>
      </c>
      <c r="I42" s="12">
        <v>12.7262932462751</v>
      </c>
      <c r="J42" s="3">
        <v>633</v>
      </c>
      <c r="K42" s="3" t="b">
        <f t="shared" si="2"/>
        <v>1</v>
      </c>
      <c r="L42" s="3" t="b">
        <f>FALSE()</f>
        <v>0</v>
      </c>
      <c r="M42" s="3" t="s">
        <v>1171</v>
      </c>
      <c r="N42" s="3" t="s">
        <v>85</v>
      </c>
      <c r="O42" s="3" t="b">
        <f>FALSE()</f>
        <v>0</v>
      </c>
      <c r="P42" s="3" t="s">
        <v>1172</v>
      </c>
    </row>
    <row r="43" customHeight="1" spans="1:16">
      <c r="A43" s="3" t="s">
        <v>193</v>
      </c>
      <c r="B43" s="3" t="s">
        <v>194</v>
      </c>
      <c r="C43" s="3">
        <v>60875</v>
      </c>
      <c r="D43" s="3">
        <v>0</v>
      </c>
      <c r="E43" s="3">
        <v>1700000</v>
      </c>
      <c r="F43" s="3">
        <v>60</v>
      </c>
      <c r="G43" s="3">
        <v>13.9</v>
      </c>
      <c r="H43" s="3">
        <v>39467.9473911312</v>
      </c>
      <c r="I43" s="12">
        <v>64.8344104987782</v>
      </c>
      <c r="J43" s="3">
        <v>719</v>
      </c>
      <c r="K43" s="3" t="b">
        <f>FALSE()</f>
        <v>0</v>
      </c>
      <c r="L43" s="3" t="b">
        <f t="shared" ref="L43:L48" si="3">TRUE()</f>
        <v>1</v>
      </c>
      <c r="M43" s="3" t="s">
        <v>1171</v>
      </c>
      <c r="N43" s="3" t="s">
        <v>85</v>
      </c>
      <c r="O43" s="3" t="b">
        <f>FALSE()</f>
        <v>0</v>
      </c>
      <c r="P43" s="3" t="s">
        <v>1172</v>
      </c>
    </row>
    <row r="44" customHeight="1" spans="1:16">
      <c r="A44" s="3" t="s">
        <v>195</v>
      </c>
      <c r="B44" s="3" t="s">
        <v>87</v>
      </c>
      <c r="C44" s="3">
        <v>35734</v>
      </c>
      <c r="D44" s="3">
        <v>2515</v>
      </c>
      <c r="E44" s="3">
        <v>5490000</v>
      </c>
      <c r="F44" s="3">
        <v>240</v>
      </c>
      <c r="G44" s="3">
        <v>8.62</v>
      </c>
      <c r="H44" s="3">
        <v>48061.2794450107</v>
      </c>
      <c r="I44" s="12">
        <v>141.535454874939</v>
      </c>
      <c r="J44" s="3">
        <v>755</v>
      </c>
      <c r="K44" s="3" t="b">
        <f>FALSE()</f>
        <v>0</v>
      </c>
      <c r="L44" s="3" t="b">
        <f t="shared" si="3"/>
        <v>1</v>
      </c>
      <c r="M44" s="3" t="s">
        <v>1171</v>
      </c>
      <c r="N44" s="3" t="s">
        <v>91</v>
      </c>
      <c r="O44" s="3" t="b">
        <f>TRUE()</f>
        <v>1</v>
      </c>
      <c r="P44" s="3" t="s">
        <v>1173</v>
      </c>
    </row>
    <row r="45" customHeight="1" spans="1:16">
      <c r="A45" s="3" t="s">
        <v>196</v>
      </c>
      <c r="B45" s="3" t="s">
        <v>197</v>
      </c>
      <c r="C45" s="3">
        <v>74304</v>
      </c>
      <c r="D45" s="3">
        <v>0</v>
      </c>
      <c r="E45" s="3">
        <v>1150000</v>
      </c>
      <c r="F45" s="3">
        <v>60</v>
      </c>
      <c r="G45" s="3">
        <v>14.97</v>
      </c>
      <c r="H45" s="3">
        <v>27340.3134625202</v>
      </c>
      <c r="I45" s="12">
        <v>36.795210839955</v>
      </c>
      <c r="J45" s="3">
        <v>798</v>
      </c>
      <c r="K45" s="3" t="b">
        <f>TRUE()</f>
        <v>1</v>
      </c>
      <c r="L45" s="3" t="b">
        <f t="shared" si="3"/>
        <v>1</v>
      </c>
      <c r="M45" s="3" t="s">
        <v>1174</v>
      </c>
      <c r="N45" s="3" t="s">
        <v>85</v>
      </c>
      <c r="O45" s="3" t="b">
        <f>TRUE()</f>
        <v>1</v>
      </c>
      <c r="P45" s="3" t="s">
        <v>1175</v>
      </c>
    </row>
    <row r="46" customHeight="1" spans="1:16">
      <c r="A46" s="3" t="s">
        <v>198</v>
      </c>
      <c r="B46" s="3" t="s">
        <v>199</v>
      </c>
      <c r="C46" s="3">
        <v>92935</v>
      </c>
      <c r="D46" s="3">
        <v>25443</v>
      </c>
      <c r="E46" s="3">
        <v>1120000</v>
      </c>
      <c r="F46" s="3">
        <v>60</v>
      </c>
      <c r="G46" s="3">
        <v>14.03</v>
      </c>
      <c r="H46" s="3">
        <v>26077.8637193184</v>
      </c>
      <c r="I46" s="12">
        <v>55.4375248499687</v>
      </c>
      <c r="J46" s="3">
        <v>745</v>
      </c>
      <c r="K46" s="3" t="b">
        <f>FALSE()</f>
        <v>0</v>
      </c>
      <c r="L46" s="3" t="b">
        <f t="shared" si="3"/>
        <v>1</v>
      </c>
      <c r="M46" s="3" t="s">
        <v>1171</v>
      </c>
      <c r="N46" s="3" t="s">
        <v>85</v>
      </c>
      <c r="O46" s="3" t="b">
        <f>FALSE()</f>
        <v>0</v>
      </c>
      <c r="P46" s="3" t="s">
        <v>1172</v>
      </c>
    </row>
    <row r="47" customHeight="1" spans="1:16">
      <c r="A47" s="3" t="s">
        <v>200</v>
      </c>
      <c r="B47" s="3" t="s">
        <v>201</v>
      </c>
      <c r="C47" s="3">
        <v>32892</v>
      </c>
      <c r="D47" s="3">
        <v>0</v>
      </c>
      <c r="E47" s="3">
        <v>990000</v>
      </c>
      <c r="F47" s="3">
        <v>84</v>
      </c>
      <c r="G47" s="3">
        <v>10.6</v>
      </c>
      <c r="H47" s="3">
        <v>16743.7158415889</v>
      </c>
      <c r="I47" s="12">
        <v>50.9051314653682</v>
      </c>
      <c r="J47" s="3">
        <v>788</v>
      </c>
      <c r="K47" s="3" t="b">
        <f>FALSE()</f>
        <v>0</v>
      </c>
      <c r="L47" s="3" t="b">
        <f t="shared" si="3"/>
        <v>1</v>
      </c>
      <c r="M47" s="3" t="s">
        <v>1171</v>
      </c>
      <c r="N47" s="3" t="s">
        <v>85</v>
      </c>
      <c r="O47" s="3" t="b">
        <f>FALSE()</f>
        <v>0</v>
      </c>
      <c r="P47" s="3" t="s">
        <v>1172</v>
      </c>
    </row>
    <row r="48" customHeight="1" spans="1:16">
      <c r="A48" s="3" t="s">
        <v>202</v>
      </c>
      <c r="B48" s="3" t="s">
        <v>203</v>
      </c>
      <c r="C48" s="3">
        <v>18000</v>
      </c>
      <c r="D48" s="3">
        <v>0</v>
      </c>
      <c r="E48" s="3">
        <v>350000</v>
      </c>
      <c r="F48" s="3">
        <v>36</v>
      </c>
      <c r="G48" s="3">
        <v>13.69</v>
      </c>
      <c r="H48" s="3">
        <v>11909.5406205566</v>
      </c>
      <c r="I48" s="12">
        <v>66.1641145586478</v>
      </c>
      <c r="J48" s="3">
        <v>767</v>
      </c>
      <c r="K48" s="3" t="b">
        <f>FALSE()</f>
        <v>0</v>
      </c>
      <c r="L48" s="3" t="b">
        <f t="shared" si="3"/>
        <v>1</v>
      </c>
      <c r="M48" s="3" t="s">
        <v>1171</v>
      </c>
      <c r="N48" s="3" t="s">
        <v>85</v>
      </c>
      <c r="O48" s="3" t="b">
        <f>FALSE()</f>
        <v>0</v>
      </c>
      <c r="P48" s="3" t="s">
        <v>1172</v>
      </c>
    </row>
    <row r="49" customHeight="1" spans="1:16">
      <c r="A49" s="3" t="s">
        <v>204</v>
      </c>
      <c r="B49" s="3" t="s">
        <v>205</v>
      </c>
      <c r="C49" s="3">
        <v>33137</v>
      </c>
      <c r="D49" s="3">
        <v>9436</v>
      </c>
      <c r="E49" s="3">
        <v>280000</v>
      </c>
      <c r="F49" s="3">
        <v>36</v>
      </c>
      <c r="G49" s="3">
        <v>13.27</v>
      </c>
      <c r="H49" s="3">
        <v>9470.76140882686</v>
      </c>
      <c r="I49" s="12">
        <v>57.0563461050393</v>
      </c>
      <c r="J49" s="3">
        <v>667</v>
      </c>
      <c r="K49" s="3" t="b">
        <f>FALSE()</f>
        <v>0</v>
      </c>
      <c r="L49" s="3" t="b">
        <f>FALSE()</f>
        <v>0</v>
      </c>
      <c r="M49" s="3" t="s">
        <v>1171</v>
      </c>
      <c r="N49" s="3" t="s">
        <v>85</v>
      </c>
      <c r="O49" s="3" t="b">
        <f>FALSE()</f>
        <v>0</v>
      </c>
      <c r="P49" s="3" t="s">
        <v>1172</v>
      </c>
    </row>
    <row r="50" customHeight="1" spans="1:16">
      <c r="A50" s="3" t="s">
        <v>206</v>
      </c>
      <c r="B50" s="3" t="s">
        <v>207</v>
      </c>
      <c r="C50" s="3">
        <v>19532</v>
      </c>
      <c r="D50" s="3">
        <v>7022</v>
      </c>
      <c r="E50" s="3">
        <v>240000</v>
      </c>
      <c r="F50" s="3">
        <v>48</v>
      </c>
      <c r="G50" s="3">
        <v>11.05</v>
      </c>
      <c r="H50" s="3">
        <v>6208.75460122343</v>
      </c>
      <c r="I50" s="12">
        <v>67.7388623859483</v>
      </c>
      <c r="J50" s="3">
        <v>653</v>
      </c>
      <c r="K50" s="3" t="b">
        <f>FALSE()</f>
        <v>0</v>
      </c>
      <c r="L50" s="3" t="b">
        <f>FALSE()</f>
        <v>0</v>
      </c>
      <c r="M50" s="3" t="s">
        <v>1171</v>
      </c>
      <c r="N50" s="3" t="s">
        <v>85</v>
      </c>
      <c r="O50" s="3" t="b">
        <f>FALSE()</f>
        <v>0</v>
      </c>
      <c r="P50" s="3" t="s">
        <v>1172</v>
      </c>
    </row>
    <row r="51" customHeight="1" spans="1:16">
      <c r="A51" s="3" t="s">
        <v>208</v>
      </c>
      <c r="B51" s="3" t="s">
        <v>209</v>
      </c>
      <c r="C51" s="3">
        <v>135974</v>
      </c>
      <c r="D51" s="3">
        <v>0</v>
      </c>
      <c r="E51" s="3">
        <v>550000</v>
      </c>
      <c r="F51" s="3">
        <v>48</v>
      </c>
      <c r="G51" s="3">
        <v>12.19</v>
      </c>
      <c r="H51" s="3">
        <v>14534.9711306847</v>
      </c>
      <c r="I51" s="12">
        <v>10.6895223577189</v>
      </c>
      <c r="J51" s="3">
        <v>784</v>
      </c>
      <c r="K51" s="3" t="b">
        <f>TRUE()</f>
        <v>1</v>
      </c>
      <c r="L51" s="3" t="b">
        <f>TRUE()</f>
        <v>1</v>
      </c>
      <c r="M51" s="3" t="s">
        <v>1174</v>
      </c>
      <c r="N51" s="3" t="s">
        <v>85</v>
      </c>
      <c r="O51" s="3" t="b">
        <f>TRUE()</f>
        <v>1</v>
      </c>
      <c r="P51" s="3" t="s">
        <v>1175</v>
      </c>
    </row>
    <row r="52" customHeight="1" spans="1:16">
      <c r="A52" s="3" t="s">
        <v>210</v>
      </c>
      <c r="B52" s="3" t="s">
        <v>211</v>
      </c>
      <c r="C52" s="3">
        <v>40615</v>
      </c>
      <c r="D52" s="3">
        <v>0</v>
      </c>
      <c r="E52" s="3">
        <v>360000</v>
      </c>
      <c r="F52" s="3">
        <v>84</v>
      </c>
      <c r="G52" s="3">
        <v>11.09</v>
      </c>
      <c r="H52" s="3">
        <v>6181.1259629262</v>
      </c>
      <c r="I52" s="12">
        <v>15.2188254657791</v>
      </c>
      <c r="J52" s="3">
        <v>790</v>
      </c>
      <c r="K52" s="3" t="b">
        <f>TRUE()</f>
        <v>1</v>
      </c>
      <c r="L52" s="3" t="b">
        <f>TRUE()</f>
        <v>1</v>
      </c>
      <c r="M52" s="3" t="s">
        <v>1174</v>
      </c>
      <c r="N52" s="3" t="s">
        <v>85</v>
      </c>
      <c r="O52" s="3" t="b">
        <f>TRUE()</f>
        <v>1</v>
      </c>
      <c r="P52" s="3" t="s">
        <v>1175</v>
      </c>
    </row>
    <row r="53" customHeight="1" spans="1:16">
      <c r="A53" s="3" t="s">
        <v>212</v>
      </c>
      <c r="B53" s="3" t="s">
        <v>213</v>
      </c>
      <c r="C53" s="3">
        <v>82882</v>
      </c>
      <c r="D53" s="3">
        <v>29272</v>
      </c>
      <c r="E53" s="3">
        <v>640000</v>
      </c>
      <c r="F53" s="3">
        <v>60</v>
      </c>
      <c r="G53" s="3">
        <v>9.63</v>
      </c>
      <c r="H53" s="3">
        <v>13481.8866156783</v>
      </c>
      <c r="I53" s="12">
        <v>51.5840431163321</v>
      </c>
      <c r="J53" s="3">
        <v>827</v>
      </c>
      <c r="K53" s="3" t="b">
        <f>FALSE()</f>
        <v>0</v>
      </c>
      <c r="L53" s="3" t="b">
        <f>TRUE()</f>
        <v>1</v>
      </c>
      <c r="M53" s="3" t="s">
        <v>1171</v>
      </c>
      <c r="N53" s="3" t="s">
        <v>85</v>
      </c>
      <c r="O53" s="3" t="b">
        <f>FALSE()</f>
        <v>0</v>
      </c>
      <c r="P53" s="3" t="s">
        <v>1172</v>
      </c>
    </row>
    <row r="54" customHeight="1" spans="1:16">
      <c r="A54" s="3" t="s">
        <v>215</v>
      </c>
      <c r="B54" s="3" t="s">
        <v>216</v>
      </c>
      <c r="C54" s="3">
        <v>71847</v>
      </c>
      <c r="D54" s="3">
        <v>0</v>
      </c>
      <c r="E54" s="3">
        <v>560000</v>
      </c>
      <c r="F54" s="3">
        <v>48</v>
      </c>
      <c r="G54" s="3">
        <v>12.04</v>
      </c>
      <c r="H54" s="3">
        <v>14757.9484381791</v>
      </c>
      <c r="I54" s="12">
        <v>20.5407998081744</v>
      </c>
      <c r="J54" s="3">
        <v>702</v>
      </c>
      <c r="K54" s="3" t="b">
        <f>TRUE()</f>
        <v>1</v>
      </c>
      <c r="L54" s="3" t="b">
        <f>TRUE()</f>
        <v>1</v>
      </c>
      <c r="M54" s="3" t="s">
        <v>1174</v>
      </c>
      <c r="N54" s="3" t="s">
        <v>85</v>
      </c>
      <c r="O54" s="3" t="b">
        <f>TRUE()</f>
        <v>1</v>
      </c>
      <c r="P54" s="3" t="s">
        <v>1175</v>
      </c>
    </row>
    <row r="55" customHeight="1" spans="1:16">
      <c r="A55" s="3" t="s">
        <v>217</v>
      </c>
      <c r="B55" s="3" t="s">
        <v>218</v>
      </c>
      <c r="C55" s="3">
        <v>72151</v>
      </c>
      <c r="D55" s="3">
        <v>0</v>
      </c>
      <c r="E55" s="3">
        <v>460000</v>
      </c>
      <c r="F55" s="3">
        <v>48</v>
      </c>
      <c r="G55" s="3">
        <v>11.26</v>
      </c>
      <c r="H55" s="3">
        <v>11947.1052911277</v>
      </c>
      <c r="I55" s="12">
        <v>16.5584749915146</v>
      </c>
      <c r="J55" s="3">
        <v>674</v>
      </c>
      <c r="K55" s="3" t="b">
        <f>TRUE()</f>
        <v>1</v>
      </c>
      <c r="L55" s="3" t="b">
        <f>FALSE()</f>
        <v>0</v>
      </c>
      <c r="M55" s="3" t="s">
        <v>1171</v>
      </c>
      <c r="N55" s="3" t="s">
        <v>85</v>
      </c>
      <c r="O55" s="3" t="b">
        <f>FALSE()</f>
        <v>0</v>
      </c>
      <c r="P55" s="3" t="s">
        <v>1172</v>
      </c>
    </row>
    <row r="56" customHeight="1" spans="1:16">
      <c r="A56" s="3" t="s">
        <v>219</v>
      </c>
      <c r="B56" s="3" t="s">
        <v>220</v>
      </c>
      <c r="C56" s="3">
        <v>82870</v>
      </c>
      <c r="D56" s="3">
        <v>13371</v>
      </c>
      <c r="E56" s="3">
        <v>1070000</v>
      </c>
      <c r="F56" s="3">
        <v>60</v>
      </c>
      <c r="G56" s="3">
        <v>10.14</v>
      </c>
      <c r="H56" s="3">
        <v>22808.1156723926</v>
      </c>
      <c r="I56" s="12">
        <v>43.6576754825541</v>
      </c>
      <c r="J56" s="3">
        <v>623</v>
      </c>
      <c r="K56" s="3" t="b">
        <f>TRUE()</f>
        <v>1</v>
      </c>
      <c r="L56" s="3" t="b">
        <f>FALSE()</f>
        <v>0</v>
      </c>
      <c r="M56" s="3" t="s">
        <v>1171</v>
      </c>
      <c r="N56" s="3" t="s">
        <v>85</v>
      </c>
      <c r="O56" s="3" t="b">
        <f>FALSE()</f>
        <v>0</v>
      </c>
      <c r="P56" s="3" t="s">
        <v>1172</v>
      </c>
    </row>
    <row r="57" customHeight="1" spans="1:16">
      <c r="A57" s="3" t="s">
        <v>221</v>
      </c>
      <c r="B57" s="3" t="s">
        <v>222</v>
      </c>
      <c r="C57" s="3">
        <v>48299</v>
      </c>
      <c r="D57" s="3">
        <v>7913</v>
      </c>
      <c r="E57" s="3">
        <v>450000</v>
      </c>
      <c r="F57" s="3">
        <v>60</v>
      </c>
      <c r="G57" s="3">
        <v>14.07</v>
      </c>
      <c r="H57" s="3">
        <v>10487.0508221678</v>
      </c>
      <c r="I57" s="12">
        <v>38.0961320569118</v>
      </c>
      <c r="J57" s="3">
        <v>790</v>
      </c>
      <c r="K57" s="3" t="b">
        <f>TRUE()</f>
        <v>1</v>
      </c>
      <c r="L57" s="3" t="b">
        <f>TRUE()</f>
        <v>1</v>
      </c>
      <c r="M57" s="3" t="s">
        <v>1174</v>
      </c>
      <c r="N57" s="3" t="s">
        <v>85</v>
      </c>
      <c r="O57" s="3" t="b">
        <f>TRUE()</f>
        <v>1</v>
      </c>
      <c r="P57" s="3" t="s">
        <v>1175</v>
      </c>
    </row>
    <row r="58" customHeight="1" spans="1:16">
      <c r="A58" s="3" t="s">
        <v>223</v>
      </c>
      <c r="B58" s="3" t="s">
        <v>224</v>
      </c>
      <c r="C58" s="3">
        <v>69575</v>
      </c>
      <c r="D58" s="3">
        <v>22878</v>
      </c>
      <c r="E58" s="3">
        <v>580000</v>
      </c>
      <c r="F58" s="3">
        <v>60</v>
      </c>
      <c r="G58" s="3">
        <v>9.95</v>
      </c>
      <c r="H58" s="3">
        <v>12309.021599921</v>
      </c>
      <c r="I58" s="12">
        <v>50.5742315485749</v>
      </c>
      <c r="J58" s="3">
        <v>665</v>
      </c>
      <c r="K58" s="3" t="b">
        <f>FALSE()</f>
        <v>0</v>
      </c>
      <c r="L58" s="3" t="b">
        <f>FALSE()</f>
        <v>0</v>
      </c>
      <c r="M58" s="3" t="s">
        <v>1171</v>
      </c>
      <c r="N58" s="3" t="s">
        <v>85</v>
      </c>
      <c r="O58" s="3" t="b">
        <f>FALSE()</f>
        <v>0</v>
      </c>
      <c r="P58" s="3" t="s">
        <v>1172</v>
      </c>
    </row>
    <row r="59" customHeight="1" spans="1:16">
      <c r="A59" s="3" t="s">
        <v>225</v>
      </c>
      <c r="B59" s="3" t="s">
        <v>226</v>
      </c>
      <c r="C59" s="3">
        <v>85465</v>
      </c>
      <c r="D59" s="3">
        <v>0</v>
      </c>
      <c r="E59" s="3">
        <v>750000</v>
      </c>
      <c r="F59" s="3">
        <v>48</v>
      </c>
      <c r="G59" s="3">
        <v>12</v>
      </c>
      <c r="H59" s="3">
        <v>19750.3765739458</v>
      </c>
      <c r="I59" s="12">
        <v>23.1093155957946</v>
      </c>
      <c r="J59" s="3">
        <v>725</v>
      </c>
      <c r="K59" s="3" t="b">
        <f>TRUE()</f>
        <v>1</v>
      </c>
      <c r="L59" s="3" t="b">
        <f>TRUE()</f>
        <v>1</v>
      </c>
      <c r="M59" s="3" t="s">
        <v>1174</v>
      </c>
      <c r="N59" s="3" t="s">
        <v>85</v>
      </c>
      <c r="O59" s="3" t="b">
        <f>TRUE()</f>
        <v>1</v>
      </c>
      <c r="P59" s="3" t="s">
        <v>1175</v>
      </c>
    </row>
    <row r="60" customHeight="1" spans="1:16">
      <c r="A60" s="3" t="s">
        <v>227</v>
      </c>
      <c r="B60" s="3" t="s">
        <v>228</v>
      </c>
      <c r="C60" s="3">
        <v>40538</v>
      </c>
      <c r="D60" s="3">
        <v>950</v>
      </c>
      <c r="E60" s="3">
        <v>1290000</v>
      </c>
      <c r="F60" s="3">
        <v>240</v>
      </c>
      <c r="G60" s="3">
        <v>9.16</v>
      </c>
      <c r="H60" s="3">
        <v>11739.5389684211</v>
      </c>
      <c r="I60" s="12">
        <v>31.3028244324364</v>
      </c>
      <c r="J60" s="3">
        <v>700</v>
      </c>
      <c r="K60" s="3" t="b">
        <f>TRUE()</f>
        <v>1</v>
      </c>
      <c r="L60" s="3" t="b">
        <f>TRUE()</f>
        <v>1</v>
      </c>
      <c r="M60" s="3" t="s">
        <v>1174</v>
      </c>
      <c r="N60" s="3" t="s">
        <v>85</v>
      </c>
      <c r="O60" s="3" t="b">
        <f>TRUE()</f>
        <v>1</v>
      </c>
      <c r="P60" s="3" t="s">
        <v>1175</v>
      </c>
    </row>
    <row r="61" customHeight="1" spans="1:16">
      <c r="A61" s="3" t="s">
        <v>229</v>
      </c>
      <c r="B61" s="3" t="s">
        <v>230</v>
      </c>
      <c r="C61" s="3">
        <v>71488</v>
      </c>
      <c r="D61" s="3">
        <v>6010</v>
      </c>
      <c r="E61" s="3">
        <v>880000</v>
      </c>
      <c r="F61" s="3">
        <v>84</v>
      </c>
      <c r="G61" s="3">
        <v>10.55</v>
      </c>
      <c r="H61" s="3">
        <v>14860.3376697591</v>
      </c>
      <c r="I61" s="12">
        <v>29.1941831772593</v>
      </c>
      <c r="J61" s="3">
        <v>762</v>
      </c>
      <c r="K61" s="3" t="b">
        <f>TRUE()</f>
        <v>1</v>
      </c>
      <c r="L61" s="3" t="b">
        <f>TRUE()</f>
        <v>1</v>
      </c>
      <c r="M61" s="3" t="s">
        <v>1174</v>
      </c>
      <c r="N61" s="3" t="s">
        <v>85</v>
      </c>
      <c r="O61" s="3" t="b">
        <f>TRUE()</f>
        <v>1</v>
      </c>
      <c r="P61" s="3" t="s">
        <v>1175</v>
      </c>
    </row>
    <row r="62" customHeight="1" spans="1:16">
      <c r="A62" s="3" t="s">
        <v>231</v>
      </c>
      <c r="B62" s="3" t="s">
        <v>232</v>
      </c>
      <c r="C62" s="3">
        <v>62946</v>
      </c>
      <c r="D62" s="3">
        <v>27615</v>
      </c>
      <c r="E62" s="3">
        <v>390000</v>
      </c>
      <c r="F62" s="3">
        <v>36</v>
      </c>
      <c r="G62" s="3">
        <v>14.1</v>
      </c>
      <c r="H62" s="3">
        <v>13348.2253842574</v>
      </c>
      <c r="I62" s="12">
        <v>65.0767727643654</v>
      </c>
      <c r="J62" s="3">
        <v>724</v>
      </c>
      <c r="K62" s="3" t="b">
        <f>FALSE()</f>
        <v>0</v>
      </c>
      <c r="L62" s="3" t="b">
        <f>TRUE()</f>
        <v>1</v>
      </c>
      <c r="M62" s="3" t="s">
        <v>1171</v>
      </c>
      <c r="N62" s="3" t="s">
        <v>85</v>
      </c>
      <c r="O62" s="3" t="b">
        <f>FALSE()</f>
        <v>0</v>
      </c>
      <c r="P62" s="3" t="s">
        <v>1172</v>
      </c>
    </row>
    <row r="63" customHeight="1" spans="1:16">
      <c r="A63" s="3" t="s">
        <v>233</v>
      </c>
      <c r="B63" s="3" t="s">
        <v>234</v>
      </c>
      <c r="C63" s="3">
        <v>61903</v>
      </c>
      <c r="D63" s="3">
        <v>20261</v>
      </c>
      <c r="E63" s="3">
        <v>830000</v>
      </c>
      <c r="F63" s="3">
        <v>60</v>
      </c>
      <c r="G63" s="3">
        <v>14.54</v>
      </c>
      <c r="H63" s="3">
        <v>19545.7974210183</v>
      </c>
      <c r="I63" s="12">
        <v>64.3051183642446</v>
      </c>
      <c r="J63" s="3">
        <v>714</v>
      </c>
      <c r="K63" s="3" t="b">
        <f>FALSE()</f>
        <v>0</v>
      </c>
      <c r="L63" s="3" t="b">
        <f>TRUE()</f>
        <v>1</v>
      </c>
      <c r="M63" s="3" t="s">
        <v>1171</v>
      </c>
      <c r="N63" s="3" t="s">
        <v>85</v>
      </c>
      <c r="O63" s="3" t="b">
        <f>FALSE()</f>
        <v>0</v>
      </c>
      <c r="P63" s="3" t="s">
        <v>1172</v>
      </c>
    </row>
    <row r="64" customHeight="1" spans="1:16">
      <c r="A64" s="3" t="s">
        <v>235</v>
      </c>
      <c r="B64" s="3" t="s">
        <v>236</v>
      </c>
      <c r="C64" s="3">
        <v>45041</v>
      </c>
      <c r="D64" s="3">
        <v>18306</v>
      </c>
      <c r="E64" s="3">
        <v>970000</v>
      </c>
      <c r="F64" s="3">
        <v>84</v>
      </c>
      <c r="G64" s="3">
        <v>11.03</v>
      </c>
      <c r="H64" s="3">
        <v>16624.0678394718</v>
      </c>
      <c r="I64" s="12">
        <v>77.5517147476118</v>
      </c>
      <c r="J64" s="3">
        <v>672</v>
      </c>
      <c r="K64" s="3" t="b">
        <f>FALSE()</f>
        <v>0</v>
      </c>
      <c r="L64" s="3" t="b">
        <f>FALSE()</f>
        <v>0</v>
      </c>
      <c r="M64" s="3" t="s">
        <v>1171</v>
      </c>
      <c r="N64" s="3" t="s">
        <v>85</v>
      </c>
      <c r="O64" s="3" t="b">
        <f>FALSE()</f>
        <v>0</v>
      </c>
      <c r="P64" s="3" t="s">
        <v>1172</v>
      </c>
    </row>
    <row r="65" customHeight="1" spans="1:16">
      <c r="A65" s="3" t="s">
        <v>238</v>
      </c>
      <c r="B65" s="3" t="s">
        <v>239</v>
      </c>
      <c r="C65" s="3">
        <v>62972</v>
      </c>
      <c r="D65" s="3">
        <v>0</v>
      </c>
      <c r="E65" s="3">
        <v>530000</v>
      </c>
      <c r="F65" s="3">
        <v>84</v>
      </c>
      <c r="G65" s="3">
        <v>11.21</v>
      </c>
      <c r="H65" s="3">
        <v>9133.51758313601</v>
      </c>
      <c r="I65" s="12">
        <v>14.5040932210125</v>
      </c>
      <c r="J65" s="3">
        <v>852</v>
      </c>
      <c r="K65" s="3" t="b">
        <f>TRUE()</f>
        <v>1</v>
      </c>
      <c r="L65" s="3" t="b">
        <f>TRUE()</f>
        <v>1</v>
      </c>
      <c r="M65" s="3" t="s">
        <v>1174</v>
      </c>
      <c r="N65" s="3" t="s">
        <v>85</v>
      </c>
      <c r="O65" s="3" t="b">
        <f>TRUE()</f>
        <v>1</v>
      </c>
      <c r="P65" s="3" t="s">
        <v>1175</v>
      </c>
    </row>
    <row r="66" customHeight="1" spans="1:16">
      <c r="A66" s="3" t="s">
        <v>240</v>
      </c>
      <c r="B66" s="3" t="s">
        <v>241</v>
      </c>
      <c r="C66" s="3">
        <v>129573</v>
      </c>
      <c r="D66" s="3">
        <v>1928</v>
      </c>
      <c r="E66" s="3">
        <v>850000</v>
      </c>
      <c r="F66" s="3">
        <v>60</v>
      </c>
      <c r="G66" s="3">
        <v>13.88</v>
      </c>
      <c r="H66" s="3">
        <v>19725.1724258738</v>
      </c>
      <c r="I66" s="12">
        <v>16.7111762681067</v>
      </c>
      <c r="J66" s="3">
        <v>820</v>
      </c>
      <c r="K66" s="3" t="b">
        <f>TRUE()</f>
        <v>1</v>
      </c>
      <c r="L66" s="3" t="b">
        <f>TRUE()</f>
        <v>1</v>
      </c>
      <c r="M66" s="3" t="s">
        <v>1174</v>
      </c>
      <c r="N66" s="3" t="s">
        <v>85</v>
      </c>
      <c r="O66" s="3" t="b">
        <f>TRUE()</f>
        <v>1</v>
      </c>
      <c r="P66" s="3" t="s">
        <v>1175</v>
      </c>
    </row>
    <row r="67" customHeight="1" spans="1:16">
      <c r="A67" s="3" t="s">
        <v>242</v>
      </c>
      <c r="B67" s="3" t="s">
        <v>243</v>
      </c>
      <c r="C67" s="3">
        <v>89867</v>
      </c>
      <c r="D67" s="3">
        <v>9966</v>
      </c>
      <c r="E67" s="3">
        <v>790000</v>
      </c>
      <c r="F67" s="3">
        <v>60</v>
      </c>
      <c r="G67" s="3">
        <v>10.05</v>
      </c>
      <c r="H67" s="3">
        <v>16804.6075376864</v>
      </c>
      <c r="I67" s="12">
        <v>29.7891412172281</v>
      </c>
      <c r="J67" s="3">
        <v>779</v>
      </c>
      <c r="K67" s="3" t="b">
        <f>TRUE()</f>
        <v>1</v>
      </c>
      <c r="L67" s="3" t="b">
        <f>TRUE()</f>
        <v>1</v>
      </c>
      <c r="M67" s="3" t="s">
        <v>1174</v>
      </c>
      <c r="N67" s="3" t="s">
        <v>85</v>
      </c>
      <c r="O67" s="3" t="b">
        <f>TRUE()</f>
        <v>1</v>
      </c>
      <c r="P67" s="3" t="s">
        <v>1175</v>
      </c>
    </row>
    <row r="68" customHeight="1" spans="1:16">
      <c r="A68" s="3" t="s">
        <v>244</v>
      </c>
      <c r="B68" s="3" t="s">
        <v>245</v>
      </c>
      <c r="C68" s="3">
        <v>22482</v>
      </c>
      <c r="D68" s="3">
        <v>8010</v>
      </c>
      <c r="E68" s="3">
        <v>650000</v>
      </c>
      <c r="F68" s="3">
        <v>60</v>
      </c>
      <c r="G68" s="3">
        <v>10.31</v>
      </c>
      <c r="H68" s="3">
        <v>13909.9340646572</v>
      </c>
      <c r="I68" s="12">
        <v>97.4999291195498</v>
      </c>
      <c r="J68" s="3">
        <v>761</v>
      </c>
      <c r="K68" s="3" t="b">
        <f>FALSE()</f>
        <v>0</v>
      </c>
      <c r="L68" s="3" t="b">
        <f>TRUE()</f>
        <v>1</v>
      </c>
      <c r="M68" s="3" t="s">
        <v>1171</v>
      </c>
      <c r="N68" s="3" t="s">
        <v>91</v>
      </c>
      <c r="O68" s="3" t="b">
        <f>TRUE()</f>
        <v>1</v>
      </c>
      <c r="P68" s="3" t="s">
        <v>1173</v>
      </c>
    </row>
    <row r="69" customHeight="1" spans="1:16">
      <c r="A69" s="3" t="s">
        <v>246</v>
      </c>
      <c r="B69" s="3" t="s">
        <v>247</v>
      </c>
      <c r="C69" s="3">
        <v>57360</v>
      </c>
      <c r="D69" s="3">
        <v>2833</v>
      </c>
      <c r="E69" s="3">
        <v>1120000</v>
      </c>
      <c r="F69" s="3">
        <v>60</v>
      </c>
      <c r="G69" s="3">
        <v>14.16</v>
      </c>
      <c r="H69" s="3">
        <v>26153.4380731979</v>
      </c>
      <c r="I69" s="12">
        <v>50.534236529285</v>
      </c>
      <c r="J69" s="3">
        <v>669</v>
      </c>
      <c r="K69" s="3" t="b">
        <f>FALSE()</f>
        <v>0</v>
      </c>
      <c r="L69" s="3" t="b">
        <f>FALSE()</f>
        <v>0</v>
      </c>
      <c r="M69" s="3" t="s">
        <v>1171</v>
      </c>
      <c r="N69" s="3" t="s">
        <v>85</v>
      </c>
      <c r="O69" s="3" t="b">
        <f>FALSE()</f>
        <v>0</v>
      </c>
      <c r="P69" s="3" t="s">
        <v>1172</v>
      </c>
    </row>
    <row r="70" customHeight="1" spans="1:16">
      <c r="A70" s="3" t="s">
        <v>248</v>
      </c>
      <c r="B70" s="3" t="s">
        <v>249</v>
      </c>
      <c r="C70" s="3">
        <v>102280</v>
      </c>
      <c r="D70" s="3">
        <v>0</v>
      </c>
      <c r="E70" s="3">
        <v>440000</v>
      </c>
      <c r="F70" s="3">
        <v>48</v>
      </c>
      <c r="G70" s="3">
        <v>11.03</v>
      </c>
      <c r="H70" s="3">
        <v>11378.4413317125</v>
      </c>
      <c r="I70" s="12">
        <v>11.1247959832934</v>
      </c>
      <c r="J70" s="3">
        <v>748</v>
      </c>
      <c r="K70" s="3" t="b">
        <f>TRUE()</f>
        <v>1</v>
      </c>
      <c r="L70" s="3" t="b">
        <f>TRUE()</f>
        <v>1</v>
      </c>
      <c r="M70" s="3" t="s">
        <v>1174</v>
      </c>
      <c r="N70" s="3" t="s">
        <v>85</v>
      </c>
      <c r="O70" s="3" t="b">
        <f>TRUE()</f>
        <v>1</v>
      </c>
      <c r="P70" s="3" t="s">
        <v>1175</v>
      </c>
    </row>
    <row r="71" customHeight="1" spans="1:16">
      <c r="A71" s="3" t="s">
        <v>250</v>
      </c>
      <c r="B71" s="3" t="s">
        <v>190</v>
      </c>
      <c r="C71" s="3">
        <v>20687</v>
      </c>
      <c r="D71" s="3">
        <v>0</v>
      </c>
      <c r="E71" s="3">
        <v>540000</v>
      </c>
      <c r="F71" s="3">
        <v>48</v>
      </c>
      <c r="G71" s="3">
        <v>11.67</v>
      </c>
      <c r="H71" s="3">
        <v>14132.9338455845</v>
      </c>
      <c r="I71" s="12">
        <v>68.3179477236163</v>
      </c>
      <c r="J71" s="3">
        <v>688</v>
      </c>
      <c r="K71" s="3" t="b">
        <f>FALSE()</f>
        <v>0</v>
      </c>
      <c r="L71" s="3" t="b">
        <f>FALSE()</f>
        <v>0</v>
      </c>
      <c r="M71" s="3" t="s">
        <v>1171</v>
      </c>
      <c r="N71" s="3" t="s">
        <v>91</v>
      </c>
      <c r="O71" s="3" t="b">
        <f>TRUE()</f>
        <v>1</v>
      </c>
      <c r="P71" s="3" t="s">
        <v>1173</v>
      </c>
    </row>
    <row r="72" customHeight="1" spans="1:16">
      <c r="A72" s="3" t="s">
        <v>251</v>
      </c>
      <c r="B72" s="3" t="s">
        <v>252</v>
      </c>
      <c r="C72" s="3">
        <v>79828</v>
      </c>
      <c r="D72" s="3">
        <v>17879</v>
      </c>
      <c r="E72" s="3">
        <v>670000</v>
      </c>
      <c r="F72" s="3">
        <v>48</v>
      </c>
      <c r="G72" s="3">
        <v>11.44</v>
      </c>
      <c r="H72" s="3">
        <v>17460.0122139238</v>
      </c>
      <c r="I72" s="12">
        <v>44.268943495921</v>
      </c>
      <c r="J72" s="3">
        <v>743</v>
      </c>
      <c r="K72" s="3" t="b">
        <f>TRUE()</f>
        <v>1</v>
      </c>
      <c r="L72" s="3" t="b">
        <f t="shared" ref="L72:L78" si="4">TRUE()</f>
        <v>1</v>
      </c>
      <c r="M72" s="3" t="s">
        <v>1174</v>
      </c>
      <c r="N72" s="3" t="s">
        <v>91</v>
      </c>
      <c r="O72" s="3" t="b">
        <f>FALSE()</f>
        <v>0</v>
      </c>
      <c r="P72" s="3" t="s">
        <v>1176</v>
      </c>
    </row>
    <row r="73" customHeight="1" spans="1:16">
      <c r="A73" s="3" t="s">
        <v>253</v>
      </c>
      <c r="B73" s="3" t="s">
        <v>254</v>
      </c>
      <c r="C73" s="3">
        <v>29308</v>
      </c>
      <c r="D73" s="3">
        <v>6528</v>
      </c>
      <c r="E73" s="3">
        <v>380000</v>
      </c>
      <c r="F73" s="3">
        <v>48</v>
      </c>
      <c r="G73" s="3">
        <v>11.03</v>
      </c>
      <c r="H73" s="3">
        <v>9826.8356955699</v>
      </c>
      <c r="I73" s="12">
        <v>55.8033154618872</v>
      </c>
      <c r="J73" s="3">
        <v>702</v>
      </c>
      <c r="K73" s="3" t="b">
        <f>FALSE()</f>
        <v>0</v>
      </c>
      <c r="L73" s="3" t="b">
        <f t="shared" si="4"/>
        <v>1</v>
      </c>
      <c r="M73" s="3" t="s">
        <v>1171</v>
      </c>
      <c r="N73" s="3" t="s">
        <v>85</v>
      </c>
      <c r="O73" s="3" t="b">
        <f>FALSE()</f>
        <v>0</v>
      </c>
      <c r="P73" s="3" t="s">
        <v>1172</v>
      </c>
    </row>
    <row r="74" customHeight="1" spans="1:16">
      <c r="A74" s="3" t="s">
        <v>255</v>
      </c>
      <c r="B74" s="3" t="s">
        <v>256</v>
      </c>
      <c r="C74" s="3">
        <v>23444</v>
      </c>
      <c r="D74" s="3">
        <v>6213</v>
      </c>
      <c r="E74" s="3">
        <v>410000</v>
      </c>
      <c r="F74" s="3">
        <v>36</v>
      </c>
      <c r="G74" s="3">
        <v>14.47</v>
      </c>
      <c r="H74" s="3">
        <v>14106.6027897048</v>
      </c>
      <c r="I74" s="12">
        <v>86.6729346088756</v>
      </c>
      <c r="J74" s="3">
        <v>733</v>
      </c>
      <c r="K74" s="3" t="b">
        <f>FALSE()</f>
        <v>0</v>
      </c>
      <c r="L74" s="3" t="b">
        <f t="shared" si="4"/>
        <v>1</v>
      </c>
      <c r="M74" s="3" t="s">
        <v>1171</v>
      </c>
      <c r="N74" s="3" t="s">
        <v>85</v>
      </c>
      <c r="O74" s="3" t="b">
        <f>FALSE()</f>
        <v>0</v>
      </c>
      <c r="P74" s="3" t="s">
        <v>1172</v>
      </c>
    </row>
    <row r="75" customHeight="1" spans="1:16">
      <c r="A75" s="3" t="s">
        <v>257</v>
      </c>
      <c r="B75" s="3" t="s">
        <v>258</v>
      </c>
      <c r="C75" s="3">
        <v>59485</v>
      </c>
      <c r="D75" s="3">
        <v>0</v>
      </c>
      <c r="E75" s="3">
        <v>340000</v>
      </c>
      <c r="F75" s="3">
        <v>36</v>
      </c>
      <c r="G75" s="3">
        <v>13.12</v>
      </c>
      <c r="H75" s="3">
        <v>11475.6053827198</v>
      </c>
      <c r="I75" s="12">
        <v>19.2915951630155</v>
      </c>
      <c r="J75" s="3">
        <v>819</v>
      </c>
      <c r="K75" s="3" t="b">
        <f>TRUE()</f>
        <v>1</v>
      </c>
      <c r="L75" s="3" t="b">
        <f t="shared" si="4"/>
        <v>1</v>
      </c>
      <c r="M75" s="3" t="s">
        <v>1174</v>
      </c>
      <c r="N75" s="3" t="s">
        <v>85</v>
      </c>
      <c r="O75" s="3" t="b">
        <f>TRUE()</f>
        <v>1</v>
      </c>
      <c r="P75" s="3" t="s">
        <v>1175</v>
      </c>
    </row>
    <row r="76" customHeight="1" spans="1:16">
      <c r="A76" s="3" t="s">
        <v>259</v>
      </c>
      <c r="B76" s="3" t="s">
        <v>260</v>
      </c>
      <c r="C76" s="3">
        <v>53251</v>
      </c>
      <c r="D76" s="3">
        <v>10059</v>
      </c>
      <c r="E76" s="3">
        <v>1390000</v>
      </c>
      <c r="F76" s="3">
        <v>84</v>
      </c>
      <c r="G76" s="3">
        <v>10.15</v>
      </c>
      <c r="H76" s="3">
        <v>23183.5197914839</v>
      </c>
      <c r="I76" s="12">
        <v>62.4260948930235</v>
      </c>
      <c r="J76" s="3">
        <v>880</v>
      </c>
      <c r="K76" s="3" t="b">
        <f>FALSE()</f>
        <v>0</v>
      </c>
      <c r="L76" s="3" t="b">
        <f t="shared" si="4"/>
        <v>1</v>
      </c>
      <c r="M76" s="3" t="s">
        <v>1171</v>
      </c>
      <c r="N76" s="3" t="s">
        <v>85</v>
      </c>
      <c r="O76" s="3" t="b">
        <f>FALSE()</f>
        <v>0</v>
      </c>
      <c r="P76" s="3" t="s">
        <v>1172</v>
      </c>
    </row>
    <row r="77" customHeight="1" spans="1:16">
      <c r="A77" s="3" t="s">
        <v>261</v>
      </c>
      <c r="B77" s="3" t="s">
        <v>262</v>
      </c>
      <c r="C77" s="3">
        <v>50551</v>
      </c>
      <c r="D77" s="3">
        <v>15195</v>
      </c>
      <c r="E77" s="3">
        <v>340000</v>
      </c>
      <c r="F77" s="3">
        <v>36</v>
      </c>
      <c r="G77" s="3">
        <v>13.69</v>
      </c>
      <c r="H77" s="3">
        <v>11569.2680313978</v>
      </c>
      <c r="I77" s="12">
        <v>52.9450812672308</v>
      </c>
      <c r="J77" s="3">
        <v>714</v>
      </c>
      <c r="K77" s="3" t="b">
        <f>FALSE()</f>
        <v>0</v>
      </c>
      <c r="L77" s="3" t="b">
        <f t="shared" si="4"/>
        <v>1</v>
      </c>
      <c r="M77" s="3" t="s">
        <v>1171</v>
      </c>
      <c r="N77" s="3" t="s">
        <v>85</v>
      </c>
      <c r="O77" s="3" t="b">
        <f>FALSE()</f>
        <v>0</v>
      </c>
      <c r="P77" s="3" t="s">
        <v>1172</v>
      </c>
    </row>
    <row r="78" customHeight="1" spans="1:16">
      <c r="A78" s="3" t="s">
        <v>263</v>
      </c>
      <c r="B78" s="3" t="s">
        <v>264</v>
      </c>
      <c r="C78" s="3">
        <v>69573</v>
      </c>
      <c r="D78" s="3">
        <v>0</v>
      </c>
      <c r="E78" s="3">
        <v>720000</v>
      </c>
      <c r="F78" s="3">
        <v>60</v>
      </c>
      <c r="G78" s="3">
        <v>15.13</v>
      </c>
      <c r="H78" s="3">
        <v>17177.9206674425</v>
      </c>
      <c r="I78" s="12">
        <v>24.6904987099054</v>
      </c>
      <c r="J78" s="3">
        <v>748</v>
      </c>
      <c r="K78" s="3" t="b">
        <f>TRUE()</f>
        <v>1</v>
      </c>
      <c r="L78" s="3" t="b">
        <f t="shared" si="4"/>
        <v>1</v>
      </c>
      <c r="M78" s="3" t="s">
        <v>1174</v>
      </c>
      <c r="N78" s="3" t="s">
        <v>85</v>
      </c>
      <c r="O78" s="3" t="b">
        <f>TRUE()</f>
        <v>1</v>
      </c>
      <c r="P78" s="3" t="s">
        <v>1175</v>
      </c>
    </row>
    <row r="79" customHeight="1" spans="1:16">
      <c r="A79" s="3" t="s">
        <v>265</v>
      </c>
      <c r="B79" s="3" t="s">
        <v>266</v>
      </c>
      <c r="C79" s="3">
        <v>130953</v>
      </c>
      <c r="D79" s="3">
        <v>37590</v>
      </c>
      <c r="E79" s="3">
        <v>260000</v>
      </c>
      <c r="F79" s="3">
        <v>48</v>
      </c>
      <c r="G79" s="3">
        <v>11.23</v>
      </c>
      <c r="H79" s="3">
        <v>6748.91350735374</v>
      </c>
      <c r="I79" s="12">
        <v>33.8586466192861</v>
      </c>
      <c r="J79" s="3">
        <v>639</v>
      </c>
      <c r="K79" s="3" t="b">
        <f>TRUE()</f>
        <v>1</v>
      </c>
      <c r="L79" s="3" t="b">
        <f>FALSE()</f>
        <v>0</v>
      </c>
      <c r="M79" s="3" t="s">
        <v>1171</v>
      </c>
      <c r="N79" s="3" t="s">
        <v>85</v>
      </c>
      <c r="O79" s="3" t="b">
        <f>FALSE()</f>
        <v>0</v>
      </c>
      <c r="P79" s="3" t="s">
        <v>1172</v>
      </c>
    </row>
    <row r="80" customHeight="1" spans="1:16">
      <c r="A80" s="3" t="s">
        <v>267</v>
      </c>
      <c r="B80" s="3" t="s">
        <v>268</v>
      </c>
      <c r="C80" s="3">
        <v>91991</v>
      </c>
      <c r="D80" s="3">
        <v>0</v>
      </c>
      <c r="E80" s="3">
        <v>990000</v>
      </c>
      <c r="F80" s="3">
        <v>84</v>
      </c>
      <c r="G80" s="3">
        <v>10.24</v>
      </c>
      <c r="H80" s="3">
        <v>16558.1996396345</v>
      </c>
      <c r="I80" s="12">
        <v>17.9998039369444</v>
      </c>
      <c r="J80" s="3">
        <v>663</v>
      </c>
      <c r="K80" s="3" t="b">
        <f>TRUE()</f>
        <v>1</v>
      </c>
      <c r="L80" s="3" t="b">
        <f>FALSE()</f>
        <v>0</v>
      </c>
      <c r="M80" s="3" t="s">
        <v>1171</v>
      </c>
      <c r="N80" s="3" t="s">
        <v>85</v>
      </c>
      <c r="O80" s="3" t="b">
        <f>FALSE()</f>
        <v>0</v>
      </c>
      <c r="P80" s="3" t="s">
        <v>1172</v>
      </c>
    </row>
    <row r="81" customHeight="1" spans="1:16">
      <c r="A81" s="3" t="s">
        <v>269</v>
      </c>
      <c r="B81" s="3" t="s">
        <v>270</v>
      </c>
      <c r="C81" s="3">
        <v>121319</v>
      </c>
      <c r="D81" s="3">
        <v>0</v>
      </c>
      <c r="E81" s="3">
        <v>1080000</v>
      </c>
      <c r="F81" s="3">
        <v>60</v>
      </c>
      <c r="G81" s="3">
        <v>9.45</v>
      </c>
      <c r="H81" s="3">
        <v>22655.6299515245</v>
      </c>
      <c r="I81" s="12">
        <v>18.6744285326491</v>
      </c>
      <c r="J81" s="3">
        <v>751</v>
      </c>
      <c r="K81" s="3" t="b">
        <f>TRUE()</f>
        <v>1</v>
      </c>
      <c r="L81" s="3" t="b">
        <f>TRUE()</f>
        <v>1</v>
      </c>
      <c r="M81" s="3" t="s">
        <v>1174</v>
      </c>
      <c r="N81" s="3" t="s">
        <v>85</v>
      </c>
      <c r="O81" s="3" t="b">
        <f>TRUE()</f>
        <v>1</v>
      </c>
      <c r="P81" s="3" t="s">
        <v>1175</v>
      </c>
    </row>
    <row r="82" customHeight="1" spans="1:16">
      <c r="A82" s="3" t="s">
        <v>271</v>
      </c>
      <c r="B82" s="3" t="s">
        <v>272</v>
      </c>
      <c r="C82" s="3">
        <v>81725</v>
      </c>
      <c r="D82" s="3">
        <v>18650</v>
      </c>
      <c r="E82" s="3">
        <v>2790000</v>
      </c>
      <c r="F82" s="3">
        <v>240</v>
      </c>
      <c r="G82" s="3">
        <v>9.15</v>
      </c>
      <c r="H82" s="3">
        <v>25372.1356927265</v>
      </c>
      <c r="I82" s="12">
        <v>53.8661801073436</v>
      </c>
      <c r="J82" s="3">
        <v>779</v>
      </c>
      <c r="K82" s="3" t="b">
        <f>FALSE()</f>
        <v>0</v>
      </c>
      <c r="L82" s="3" t="b">
        <f>TRUE()</f>
        <v>1</v>
      </c>
      <c r="M82" s="3" t="s">
        <v>1171</v>
      </c>
      <c r="N82" s="3" t="s">
        <v>91</v>
      </c>
      <c r="O82" s="3" t="b">
        <f>TRUE()</f>
        <v>1</v>
      </c>
      <c r="P82" s="3" t="s">
        <v>1173</v>
      </c>
    </row>
    <row r="83" customHeight="1" spans="1:16">
      <c r="A83" s="3" t="s">
        <v>273</v>
      </c>
      <c r="B83" s="3" t="s">
        <v>181</v>
      </c>
      <c r="C83" s="3">
        <v>59054</v>
      </c>
      <c r="D83" s="3">
        <v>0</v>
      </c>
      <c r="E83" s="3">
        <v>360000</v>
      </c>
      <c r="F83" s="3">
        <v>36</v>
      </c>
      <c r="G83" s="3">
        <v>13.84</v>
      </c>
      <c r="H83" s="3">
        <v>12275.9894593329</v>
      </c>
      <c r="I83" s="12">
        <v>20.7877357322669</v>
      </c>
      <c r="J83" s="3">
        <v>695</v>
      </c>
      <c r="K83" s="3" t="b">
        <f>TRUE()</f>
        <v>1</v>
      </c>
      <c r="L83" s="3" t="b">
        <f>FALSE()</f>
        <v>0</v>
      </c>
      <c r="M83" s="3" t="s">
        <v>1171</v>
      </c>
      <c r="N83" s="3" t="s">
        <v>85</v>
      </c>
      <c r="O83" s="3" t="b">
        <f>FALSE()</f>
        <v>0</v>
      </c>
      <c r="P83" s="3" t="s">
        <v>1172</v>
      </c>
    </row>
    <row r="84" customHeight="1" spans="1:16">
      <c r="A84" s="3" t="s">
        <v>274</v>
      </c>
      <c r="B84" s="3" t="s">
        <v>275</v>
      </c>
      <c r="C84" s="3">
        <v>113538</v>
      </c>
      <c r="D84" s="3">
        <v>38911</v>
      </c>
      <c r="E84" s="3">
        <v>3400000</v>
      </c>
      <c r="F84" s="3">
        <v>240</v>
      </c>
      <c r="G84" s="3">
        <v>8.51</v>
      </c>
      <c r="H84" s="3">
        <v>29527.512584427</v>
      </c>
      <c r="I84" s="12">
        <v>60.2780677697573</v>
      </c>
      <c r="J84" s="3">
        <v>731</v>
      </c>
      <c r="K84" s="3" t="b">
        <f>FALSE()</f>
        <v>0</v>
      </c>
      <c r="L84" s="3" t="b">
        <f>TRUE()</f>
        <v>1</v>
      </c>
      <c r="M84" s="3" t="s">
        <v>1171</v>
      </c>
      <c r="N84" s="3" t="s">
        <v>85</v>
      </c>
      <c r="O84" s="3" t="b">
        <f>FALSE()</f>
        <v>0</v>
      </c>
      <c r="P84" s="3" t="s">
        <v>1172</v>
      </c>
    </row>
    <row r="85" customHeight="1" spans="1:16">
      <c r="A85" s="3" t="s">
        <v>276</v>
      </c>
      <c r="B85" s="3" t="s">
        <v>277</v>
      </c>
      <c r="C85" s="3">
        <v>69445</v>
      </c>
      <c r="D85" s="3">
        <v>2027</v>
      </c>
      <c r="E85" s="3">
        <v>2370000</v>
      </c>
      <c r="F85" s="3">
        <v>240</v>
      </c>
      <c r="G85" s="3">
        <v>9.57</v>
      </c>
      <c r="H85" s="3">
        <v>22199.9568230633</v>
      </c>
      <c r="I85" s="12">
        <v>34.8865387329013</v>
      </c>
      <c r="J85" s="3">
        <v>795</v>
      </c>
      <c r="K85" s="3" t="b">
        <f>TRUE()</f>
        <v>1</v>
      </c>
      <c r="L85" s="3" t="b">
        <f>TRUE()</f>
        <v>1</v>
      </c>
      <c r="M85" s="3" t="s">
        <v>1174</v>
      </c>
      <c r="N85" s="3" t="s">
        <v>85</v>
      </c>
      <c r="O85" s="3" t="b">
        <f>TRUE()</f>
        <v>1</v>
      </c>
      <c r="P85" s="3" t="s">
        <v>1175</v>
      </c>
    </row>
    <row r="86" customHeight="1" spans="1:16">
      <c r="A86" s="3" t="s">
        <v>278</v>
      </c>
      <c r="B86" s="3" t="s">
        <v>272</v>
      </c>
      <c r="C86" s="3">
        <v>28577</v>
      </c>
      <c r="D86" s="3">
        <v>0</v>
      </c>
      <c r="E86" s="3">
        <v>780000</v>
      </c>
      <c r="F86" s="3">
        <v>60</v>
      </c>
      <c r="G86" s="3">
        <v>9.84</v>
      </c>
      <c r="H86" s="3">
        <v>16511.3549910497</v>
      </c>
      <c r="I86" s="12">
        <v>57.7784756659191</v>
      </c>
      <c r="J86" s="3">
        <v>614</v>
      </c>
      <c r="K86" s="3" t="b">
        <f>FALSE()</f>
        <v>0</v>
      </c>
      <c r="L86" s="3" t="b">
        <f>FALSE()</f>
        <v>0</v>
      </c>
      <c r="M86" s="3" t="s">
        <v>1171</v>
      </c>
      <c r="N86" s="3" t="s">
        <v>91</v>
      </c>
      <c r="O86" s="3" t="b">
        <f>TRUE()</f>
        <v>1</v>
      </c>
      <c r="P86" s="3" t="s">
        <v>1173</v>
      </c>
    </row>
    <row r="87" customHeight="1" spans="1:16">
      <c r="A87" s="3" t="s">
        <v>279</v>
      </c>
      <c r="B87" s="3" t="s">
        <v>280</v>
      </c>
      <c r="C87" s="3">
        <v>104949</v>
      </c>
      <c r="D87" s="3">
        <v>0</v>
      </c>
      <c r="E87" s="3">
        <v>1230000</v>
      </c>
      <c r="F87" s="3">
        <v>60</v>
      </c>
      <c r="G87" s="3">
        <v>14.67</v>
      </c>
      <c r="H87" s="3">
        <v>29048.9843572549</v>
      </c>
      <c r="I87" s="12">
        <v>27.6791435432971</v>
      </c>
      <c r="J87" s="3">
        <v>740</v>
      </c>
      <c r="K87" s="3" t="b">
        <f>TRUE()</f>
        <v>1</v>
      </c>
      <c r="L87" s="3" t="b">
        <f>TRUE()</f>
        <v>1</v>
      </c>
      <c r="M87" s="3" t="s">
        <v>1174</v>
      </c>
      <c r="N87" s="3" t="s">
        <v>85</v>
      </c>
      <c r="O87" s="3" t="b">
        <f>TRUE()</f>
        <v>1</v>
      </c>
      <c r="P87" s="3" t="s">
        <v>1175</v>
      </c>
    </row>
    <row r="88" customHeight="1" spans="1:16">
      <c r="A88" s="3" t="s">
        <v>281</v>
      </c>
      <c r="B88" s="3" t="s">
        <v>282</v>
      </c>
      <c r="C88" s="3">
        <v>49257</v>
      </c>
      <c r="D88" s="3">
        <v>1198</v>
      </c>
      <c r="E88" s="3">
        <v>440000</v>
      </c>
      <c r="F88" s="3">
        <v>60</v>
      </c>
      <c r="G88" s="3">
        <v>13.89</v>
      </c>
      <c r="H88" s="3">
        <v>10212.9553235629</v>
      </c>
      <c r="I88" s="12">
        <v>23.1661597814786</v>
      </c>
      <c r="J88" s="3">
        <v>756</v>
      </c>
      <c r="K88" s="3" t="b">
        <f>TRUE()</f>
        <v>1</v>
      </c>
      <c r="L88" s="3" t="b">
        <f>TRUE()</f>
        <v>1</v>
      </c>
      <c r="M88" s="3" t="s">
        <v>1174</v>
      </c>
      <c r="N88" s="3" t="s">
        <v>85</v>
      </c>
      <c r="O88" s="3" t="b">
        <f>TRUE()</f>
        <v>1</v>
      </c>
      <c r="P88" s="3" t="s">
        <v>1175</v>
      </c>
    </row>
    <row r="89" customHeight="1" spans="1:16">
      <c r="A89" s="3" t="s">
        <v>283</v>
      </c>
      <c r="B89" s="3" t="s">
        <v>284</v>
      </c>
      <c r="C89" s="3">
        <v>76775</v>
      </c>
      <c r="D89" s="3">
        <v>4364</v>
      </c>
      <c r="E89" s="3">
        <v>1590000</v>
      </c>
      <c r="F89" s="3">
        <v>60</v>
      </c>
      <c r="G89" s="3">
        <v>15.15</v>
      </c>
      <c r="H89" s="3">
        <v>37951.2957073416</v>
      </c>
      <c r="I89" s="12">
        <v>55.115982686215</v>
      </c>
      <c r="J89" s="3">
        <v>633</v>
      </c>
      <c r="K89" s="3" t="b">
        <f>FALSE()</f>
        <v>0</v>
      </c>
      <c r="L89" s="3" t="b">
        <f>FALSE()</f>
        <v>0</v>
      </c>
      <c r="M89" s="3" t="s">
        <v>1171</v>
      </c>
      <c r="N89" s="3" t="s">
        <v>85</v>
      </c>
      <c r="O89" s="3" t="b">
        <f>FALSE()</f>
        <v>0</v>
      </c>
      <c r="P89" s="3" t="s">
        <v>1172</v>
      </c>
    </row>
    <row r="90" customHeight="1" spans="1:16">
      <c r="A90" s="3" t="s">
        <v>285</v>
      </c>
      <c r="B90" s="3" t="s">
        <v>286</v>
      </c>
      <c r="C90" s="3">
        <v>72332</v>
      </c>
      <c r="D90" s="3">
        <v>11189</v>
      </c>
      <c r="E90" s="3">
        <v>1080000</v>
      </c>
      <c r="F90" s="3">
        <v>60</v>
      </c>
      <c r="G90" s="3">
        <v>9.9</v>
      </c>
      <c r="H90" s="3">
        <v>22893.7040121957</v>
      </c>
      <c r="I90" s="12">
        <v>47.119814206984</v>
      </c>
      <c r="J90" s="3">
        <v>761</v>
      </c>
      <c r="K90" s="3" t="b">
        <f>TRUE()</f>
        <v>1</v>
      </c>
      <c r="L90" s="3" t="b">
        <f>TRUE()</f>
        <v>1</v>
      </c>
      <c r="M90" s="3" t="s">
        <v>1174</v>
      </c>
      <c r="N90" s="3" t="s">
        <v>85</v>
      </c>
      <c r="O90" s="3" t="b">
        <f>TRUE()</f>
        <v>1</v>
      </c>
      <c r="P90" s="3" t="s">
        <v>1175</v>
      </c>
    </row>
    <row r="91" customHeight="1" spans="1:16">
      <c r="A91" s="3" t="s">
        <v>287</v>
      </c>
      <c r="B91" s="3" t="s">
        <v>288</v>
      </c>
      <c r="C91" s="3">
        <v>28722</v>
      </c>
      <c r="D91" s="3">
        <v>0</v>
      </c>
      <c r="E91" s="3">
        <v>680000</v>
      </c>
      <c r="F91" s="3">
        <v>48</v>
      </c>
      <c r="G91" s="3">
        <v>11.44</v>
      </c>
      <c r="H91" s="3">
        <v>17720.6094111465</v>
      </c>
      <c r="I91" s="12">
        <v>61.6969898027523</v>
      </c>
      <c r="J91" s="3">
        <v>680</v>
      </c>
      <c r="K91" s="3" t="b">
        <f>FALSE()</f>
        <v>0</v>
      </c>
      <c r="L91" s="3" t="b">
        <f>FALSE()</f>
        <v>0</v>
      </c>
      <c r="M91" s="3" t="s">
        <v>1171</v>
      </c>
      <c r="N91" s="3" t="s">
        <v>85</v>
      </c>
      <c r="O91" s="3" t="b">
        <f>FALSE()</f>
        <v>0</v>
      </c>
      <c r="P91" s="3" t="s">
        <v>1172</v>
      </c>
    </row>
    <row r="92" customHeight="1" spans="1:16">
      <c r="A92" s="3" t="s">
        <v>289</v>
      </c>
      <c r="B92" s="3" t="s">
        <v>290</v>
      </c>
      <c r="C92" s="3">
        <v>102447</v>
      </c>
      <c r="D92" s="3">
        <v>23622</v>
      </c>
      <c r="E92" s="3">
        <v>1460000</v>
      </c>
      <c r="F92" s="3">
        <v>60</v>
      </c>
      <c r="G92" s="3">
        <v>13.78</v>
      </c>
      <c r="H92" s="3">
        <v>33805.3540485515</v>
      </c>
      <c r="I92" s="12">
        <v>56.0556717605704</v>
      </c>
      <c r="J92" s="3">
        <v>785</v>
      </c>
      <c r="K92" s="3" t="b">
        <f>FALSE()</f>
        <v>0</v>
      </c>
      <c r="L92" s="3" t="b">
        <f>TRUE()</f>
        <v>1</v>
      </c>
      <c r="M92" s="3" t="s">
        <v>1171</v>
      </c>
      <c r="N92" s="3" t="s">
        <v>85</v>
      </c>
      <c r="O92" s="3" t="b">
        <f>FALSE()</f>
        <v>0</v>
      </c>
      <c r="P92" s="3" t="s">
        <v>1172</v>
      </c>
    </row>
    <row r="93" customHeight="1" spans="1:16">
      <c r="A93" s="3" t="s">
        <v>291</v>
      </c>
      <c r="B93" s="3" t="s">
        <v>292</v>
      </c>
      <c r="C93" s="3">
        <v>81166</v>
      </c>
      <c r="D93" s="3">
        <v>223</v>
      </c>
      <c r="E93" s="3">
        <v>160000</v>
      </c>
      <c r="F93" s="3">
        <v>36</v>
      </c>
      <c r="G93" s="3">
        <v>14.53</v>
      </c>
      <c r="H93" s="3">
        <v>5509.69763683555</v>
      </c>
      <c r="I93" s="12">
        <v>7.06292984357435</v>
      </c>
      <c r="J93" s="3">
        <v>628</v>
      </c>
      <c r="K93" s="3" t="b">
        <f>TRUE()</f>
        <v>1</v>
      </c>
      <c r="L93" s="3" t="b">
        <f>FALSE()</f>
        <v>0</v>
      </c>
      <c r="M93" s="3" t="s">
        <v>1171</v>
      </c>
      <c r="N93" s="3" t="s">
        <v>85</v>
      </c>
      <c r="O93" s="3" t="b">
        <f>FALSE()</f>
        <v>0</v>
      </c>
      <c r="P93" s="3" t="s">
        <v>1172</v>
      </c>
    </row>
    <row r="94" customHeight="1" spans="1:16">
      <c r="A94" s="3" t="s">
        <v>293</v>
      </c>
      <c r="B94" s="3" t="s">
        <v>294</v>
      </c>
      <c r="C94" s="3">
        <v>127074</v>
      </c>
      <c r="D94" s="3">
        <v>0</v>
      </c>
      <c r="E94" s="3">
        <v>680000</v>
      </c>
      <c r="F94" s="3">
        <v>60</v>
      </c>
      <c r="G94" s="3">
        <v>14.57</v>
      </c>
      <c r="H94" s="3">
        <v>16024.0739585796</v>
      </c>
      <c r="I94" s="12">
        <v>12.610033491178</v>
      </c>
      <c r="J94" s="3">
        <v>818</v>
      </c>
      <c r="K94" s="3" t="b">
        <f>TRUE()</f>
        <v>1</v>
      </c>
      <c r="L94" s="3" t="b">
        <f t="shared" ref="L94:L99" si="5">TRUE()</f>
        <v>1</v>
      </c>
      <c r="M94" s="3" t="s">
        <v>1174</v>
      </c>
      <c r="N94" s="3" t="s">
        <v>85</v>
      </c>
      <c r="O94" s="3" t="b">
        <f>TRUE()</f>
        <v>1</v>
      </c>
      <c r="P94" s="3" t="s">
        <v>1175</v>
      </c>
    </row>
    <row r="95" customHeight="1" spans="1:16">
      <c r="A95" s="3" t="s">
        <v>295</v>
      </c>
      <c r="B95" s="3" t="s">
        <v>296</v>
      </c>
      <c r="C95" s="3">
        <v>142862</v>
      </c>
      <c r="D95" s="3">
        <v>0</v>
      </c>
      <c r="E95" s="3">
        <v>610000</v>
      </c>
      <c r="F95" s="3">
        <v>60</v>
      </c>
      <c r="G95" s="3">
        <v>9.39</v>
      </c>
      <c r="H95" s="3">
        <v>12778.3689897132</v>
      </c>
      <c r="I95" s="12">
        <v>8.94455417795722</v>
      </c>
      <c r="J95" s="3">
        <v>706</v>
      </c>
      <c r="K95" s="3" t="b">
        <f>TRUE()</f>
        <v>1</v>
      </c>
      <c r="L95" s="3" t="b">
        <f t="shared" si="5"/>
        <v>1</v>
      </c>
      <c r="M95" s="3" t="s">
        <v>1174</v>
      </c>
      <c r="N95" s="3" t="s">
        <v>85</v>
      </c>
      <c r="O95" s="3" t="b">
        <f>TRUE()</f>
        <v>1</v>
      </c>
      <c r="P95" s="3" t="s">
        <v>1175</v>
      </c>
    </row>
    <row r="96" customHeight="1" spans="1:16">
      <c r="A96" s="3" t="s">
        <v>297</v>
      </c>
      <c r="B96" s="3" t="s">
        <v>298</v>
      </c>
      <c r="C96" s="3">
        <v>39275</v>
      </c>
      <c r="D96" s="3">
        <v>0</v>
      </c>
      <c r="E96" s="3">
        <v>5050000</v>
      </c>
      <c r="F96" s="3">
        <v>240</v>
      </c>
      <c r="G96" s="3">
        <v>9.18</v>
      </c>
      <c r="H96" s="3">
        <v>46022.4098589556</v>
      </c>
      <c r="I96" s="12">
        <v>117.179910525667</v>
      </c>
      <c r="J96" s="3">
        <v>838</v>
      </c>
      <c r="K96" s="3" t="b">
        <f>FALSE()</f>
        <v>0</v>
      </c>
      <c r="L96" s="3" t="b">
        <f t="shared" si="5"/>
        <v>1</v>
      </c>
      <c r="M96" s="3" t="s">
        <v>1171</v>
      </c>
      <c r="N96" s="3" t="s">
        <v>85</v>
      </c>
      <c r="O96" s="3" t="b">
        <f>FALSE()</f>
        <v>0</v>
      </c>
      <c r="P96" s="3" t="s">
        <v>1172</v>
      </c>
    </row>
    <row r="97" customHeight="1" spans="1:16">
      <c r="A97" s="3" t="s">
        <v>299</v>
      </c>
      <c r="B97" s="3" t="s">
        <v>300</v>
      </c>
      <c r="C97" s="3">
        <v>42691</v>
      </c>
      <c r="D97" s="3">
        <v>0</v>
      </c>
      <c r="E97" s="3">
        <v>540000</v>
      </c>
      <c r="F97" s="3">
        <v>60</v>
      </c>
      <c r="G97" s="3">
        <v>10.47</v>
      </c>
      <c r="H97" s="3">
        <v>11598.6826664202</v>
      </c>
      <c r="I97" s="12">
        <v>27.1689177260317</v>
      </c>
      <c r="J97" s="3">
        <v>794</v>
      </c>
      <c r="K97" s="3" t="b">
        <f>TRUE()</f>
        <v>1</v>
      </c>
      <c r="L97" s="3" t="b">
        <f t="shared" si="5"/>
        <v>1</v>
      </c>
      <c r="M97" s="3" t="s">
        <v>1174</v>
      </c>
      <c r="N97" s="3" t="s">
        <v>85</v>
      </c>
      <c r="O97" s="3" t="b">
        <f>TRUE()</f>
        <v>1</v>
      </c>
      <c r="P97" s="3" t="s">
        <v>1175</v>
      </c>
    </row>
    <row r="98" customHeight="1" spans="1:16">
      <c r="A98" s="3" t="s">
        <v>301</v>
      </c>
      <c r="B98" s="3" t="s">
        <v>302</v>
      </c>
      <c r="C98" s="3">
        <v>68977</v>
      </c>
      <c r="D98" s="3">
        <v>1025</v>
      </c>
      <c r="E98" s="3">
        <v>610000</v>
      </c>
      <c r="F98" s="3">
        <v>48</v>
      </c>
      <c r="G98" s="3">
        <v>12.19</v>
      </c>
      <c r="H98" s="3">
        <v>16120.6043449412</v>
      </c>
      <c r="I98" s="12">
        <v>24.8569876117273</v>
      </c>
      <c r="J98" s="3">
        <v>744</v>
      </c>
      <c r="K98" s="3" t="b">
        <f>TRUE()</f>
        <v>1</v>
      </c>
      <c r="L98" s="3" t="b">
        <f t="shared" si="5"/>
        <v>1</v>
      </c>
      <c r="M98" s="3" t="s">
        <v>1174</v>
      </c>
      <c r="N98" s="3" t="s">
        <v>85</v>
      </c>
      <c r="O98" s="3" t="b">
        <f>TRUE()</f>
        <v>1</v>
      </c>
      <c r="P98" s="3" t="s">
        <v>1175</v>
      </c>
    </row>
    <row r="99" customHeight="1" spans="1:16">
      <c r="A99" s="3" t="s">
        <v>303</v>
      </c>
      <c r="B99" s="3" t="s">
        <v>304</v>
      </c>
      <c r="C99" s="3">
        <v>115858</v>
      </c>
      <c r="D99" s="3">
        <v>18361</v>
      </c>
      <c r="E99" s="3">
        <v>3890000</v>
      </c>
      <c r="F99" s="3">
        <v>240</v>
      </c>
      <c r="G99" s="3">
        <v>8.34</v>
      </c>
      <c r="H99" s="3">
        <v>33365.4357762612</v>
      </c>
      <c r="I99" s="12">
        <v>44.6464083414708</v>
      </c>
      <c r="J99" s="3">
        <v>802</v>
      </c>
      <c r="K99" s="3" t="b">
        <f>TRUE()</f>
        <v>1</v>
      </c>
      <c r="L99" s="3" t="b">
        <f t="shared" si="5"/>
        <v>1</v>
      </c>
      <c r="M99" s="3" t="s">
        <v>1174</v>
      </c>
      <c r="N99" s="3" t="s">
        <v>85</v>
      </c>
      <c r="O99" s="3" t="b">
        <f>TRUE()</f>
        <v>1</v>
      </c>
      <c r="P99" s="3" t="s">
        <v>1175</v>
      </c>
    </row>
    <row r="100" customHeight="1" spans="1:16">
      <c r="A100" s="3" t="s">
        <v>305</v>
      </c>
      <c r="B100" s="3" t="s">
        <v>306</v>
      </c>
      <c r="C100" s="3">
        <v>42029</v>
      </c>
      <c r="D100" s="3">
        <v>1480</v>
      </c>
      <c r="E100" s="3">
        <v>780000</v>
      </c>
      <c r="F100" s="3">
        <v>60</v>
      </c>
      <c r="G100" s="3">
        <v>10.47</v>
      </c>
      <c r="H100" s="3">
        <v>16753.6527403847</v>
      </c>
      <c r="I100" s="12">
        <v>43.3835036293624</v>
      </c>
      <c r="J100" s="3">
        <v>682</v>
      </c>
      <c r="K100" s="3" t="b">
        <f>TRUE()</f>
        <v>1</v>
      </c>
      <c r="L100" s="3" t="b">
        <f>FALSE()</f>
        <v>0</v>
      </c>
      <c r="M100" s="3" t="s">
        <v>1171</v>
      </c>
      <c r="N100" s="3" t="s">
        <v>91</v>
      </c>
      <c r="O100" s="3" t="b">
        <f>TRUE()</f>
        <v>1</v>
      </c>
      <c r="P100" s="3" t="s">
        <v>1173</v>
      </c>
    </row>
    <row r="101" customHeight="1" spans="1:16">
      <c r="A101" s="3" t="s">
        <v>307</v>
      </c>
      <c r="B101" s="3" t="s">
        <v>308</v>
      </c>
      <c r="C101" s="3">
        <v>35892</v>
      </c>
      <c r="D101" s="3">
        <v>1480</v>
      </c>
      <c r="E101" s="3">
        <v>1070000</v>
      </c>
      <c r="F101" s="3">
        <v>60</v>
      </c>
      <c r="G101" s="3">
        <v>14.01</v>
      </c>
      <c r="H101" s="3">
        <v>24902.5760351965</v>
      </c>
      <c r="I101" s="12">
        <v>73.5054497804427</v>
      </c>
      <c r="J101" s="3">
        <v>760</v>
      </c>
      <c r="K101" s="3" t="b">
        <f>FALSE()</f>
        <v>0</v>
      </c>
      <c r="L101" s="3" t="b">
        <f>TRUE()</f>
        <v>1</v>
      </c>
      <c r="M101" s="3" t="s">
        <v>1171</v>
      </c>
      <c r="N101" s="3" t="s">
        <v>85</v>
      </c>
      <c r="O101" s="3" t="b">
        <f>FALSE()</f>
        <v>0</v>
      </c>
      <c r="P101" s="3" t="s">
        <v>1172</v>
      </c>
    </row>
    <row r="102" customHeight="1" spans="1:16">
      <c r="A102" s="3" t="s">
        <v>309</v>
      </c>
      <c r="B102" s="3" t="s">
        <v>310</v>
      </c>
      <c r="C102" s="3">
        <v>27341</v>
      </c>
      <c r="D102" s="3">
        <v>4265</v>
      </c>
      <c r="E102" s="3">
        <v>2910000</v>
      </c>
      <c r="F102" s="3">
        <v>240</v>
      </c>
      <c r="G102" s="3">
        <v>9.43</v>
      </c>
      <c r="H102" s="3">
        <v>26992.1370588716</v>
      </c>
      <c r="I102" s="12">
        <v>114.323313188514</v>
      </c>
      <c r="J102" s="3">
        <v>721</v>
      </c>
      <c r="K102" s="3" t="b">
        <f>FALSE()</f>
        <v>0</v>
      </c>
      <c r="L102" s="3" t="b">
        <f>TRUE()</f>
        <v>1</v>
      </c>
      <c r="M102" s="3" t="s">
        <v>1171</v>
      </c>
      <c r="N102" s="3" t="s">
        <v>85</v>
      </c>
      <c r="O102" s="3" t="b">
        <f>FALSE()</f>
        <v>0</v>
      </c>
      <c r="P102" s="3" t="s">
        <v>1172</v>
      </c>
    </row>
    <row r="103" customHeight="1" spans="1:16">
      <c r="A103" s="3" t="s">
        <v>311</v>
      </c>
      <c r="B103" s="3" t="s">
        <v>312</v>
      </c>
      <c r="C103" s="3">
        <v>89361</v>
      </c>
      <c r="D103" s="3">
        <v>7201</v>
      </c>
      <c r="E103" s="3">
        <v>1400000</v>
      </c>
      <c r="F103" s="3">
        <v>60</v>
      </c>
      <c r="G103" s="3">
        <v>14.6</v>
      </c>
      <c r="H103" s="3">
        <v>33012.6742328457</v>
      </c>
      <c r="I103" s="12">
        <v>45.0013699856153</v>
      </c>
      <c r="J103" s="3">
        <v>813</v>
      </c>
      <c r="K103" s="3" t="b">
        <f>TRUE()</f>
        <v>1</v>
      </c>
      <c r="L103" s="3" t="b">
        <f>TRUE()</f>
        <v>1</v>
      </c>
      <c r="M103" s="3" t="s">
        <v>1174</v>
      </c>
      <c r="N103" s="3" t="s">
        <v>85</v>
      </c>
      <c r="O103" s="3" t="b">
        <f>TRUE()</f>
        <v>1</v>
      </c>
      <c r="P103" s="3" t="s">
        <v>1175</v>
      </c>
    </row>
    <row r="104" customHeight="1" spans="1:16">
      <c r="A104" s="3" t="s">
        <v>313</v>
      </c>
      <c r="B104" s="3" t="s">
        <v>314</v>
      </c>
      <c r="C104" s="3">
        <v>40049</v>
      </c>
      <c r="D104" s="3">
        <v>981</v>
      </c>
      <c r="E104" s="3">
        <v>1840000</v>
      </c>
      <c r="F104" s="3">
        <v>60</v>
      </c>
      <c r="G104" s="3">
        <v>14.35</v>
      </c>
      <c r="H104" s="3">
        <v>43148.1871934409</v>
      </c>
      <c r="I104" s="12">
        <v>110.187987698671</v>
      </c>
      <c r="J104" s="3">
        <v>591</v>
      </c>
      <c r="K104" s="3" t="b">
        <f>FALSE()</f>
        <v>0</v>
      </c>
      <c r="L104" s="3" t="b">
        <f>FALSE()</f>
        <v>0</v>
      </c>
      <c r="M104" s="3" t="s">
        <v>1171</v>
      </c>
      <c r="N104" s="3" t="s">
        <v>85</v>
      </c>
      <c r="O104" s="3" t="b">
        <f>FALSE()</f>
        <v>0</v>
      </c>
      <c r="P104" s="3" t="s">
        <v>1172</v>
      </c>
    </row>
    <row r="105" customHeight="1" spans="1:16">
      <c r="A105" s="3" t="s">
        <v>315</v>
      </c>
      <c r="B105" s="3" t="s">
        <v>194</v>
      </c>
      <c r="C105" s="3">
        <v>116416</v>
      </c>
      <c r="D105" s="3">
        <v>50061</v>
      </c>
      <c r="E105" s="3">
        <v>370000</v>
      </c>
      <c r="F105" s="3">
        <v>48</v>
      </c>
      <c r="G105" s="3">
        <v>10.62</v>
      </c>
      <c r="H105" s="3">
        <v>9494.70739915816</v>
      </c>
      <c r="I105" s="12">
        <v>51.157665096858</v>
      </c>
      <c r="J105" s="3">
        <v>635</v>
      </c>
      <c r="K105" s="3" t="b">
        <f>FALSE()</f>
        <v>0</v>
      </c>
      <c r="L105" s="3" t="b">
        <f>FALSE()</f>
        <v>0</v>
      </c>
      <c r="M105" s="3" t="s">
        <v>1171</v>
      </c>
      <c r="N105" s="3" t="s">
        <v>85</v>
      </c>
      <c r="O105" s="3" t="b">
        <f>FALSE()</f>
        <v>0</v>
      </c>
      <c r="P105" s="3" t="s">
        <v>1172</v>
      </c>
    </row>
    <row r="106" customHeight="1" spans="1:16">
      <c r="A106" s="3" t="s">
        <v>316</v>
      </c>
      <c r="B106" s="3" t="s">
        <v>317</v>
      </c>
      <c r="C106" s="3">
        <v>30784</v>
      </c>
      <c r="D106" s="3">
        <v>1145</v>
      </c>
      <c r="E106" s="3">
        <v>370000</v>
      </c>
      <c r="F106" s="3">
        <v>36</v>
      </c>
      <c r="G106" s="3">
        <v>14.28</v>
      </c>
      <c r="H106" s="3">
        <v>12696.0988713428</v>
      </c>
      <c r="I106" s="12">
        <v>44.9619895768671</v>
      </c>
      <c r="J106" s="3">
        <v>637</v>
      </c>
      <c r="K106" s="3" t="b">
        <f>TRUE()</f>
        <v>1</v>
      </c>
      <c r="L106" s="3" t="b">
        <f>FALSE()</f>
        <v>0</v>
      </c>
      <c r="M106" s="3" t="s">
        <v>1171</v>
      </c>
      <c r="N106" s="3" t="s">
        <v>85</v>
      </c>
      <c r="O106" s="3" t="b">
        <f>FALSE()</f>
        <v>0</v>
      </c>
      <c r="P106" s="3" t="s">
        <v>1172</v>
      </c>
    </row>
    <row r="107" customHeight="1" spans="1:16">
      <c r="A107" s="3" t="s">
        <v>318</v>
      </c>
      <c r="B107" s="3" t="s">
        <v>319</v>
      </c>
      <c r="C107" s="3">
        <v>121160</v>
      </c>
      <c r="D107" s="3">
        <v>0</v>
      </c>
      <c r="E107" s="3">
        <v>410000</v>
      </c>
      <c r="F107" s="3">
        <v>36</v>
      </c>
      <c r="G107" s="3">
        <v>13.8</v>
      </c>
      <c r="H107" s="3">
        <v>13973.0345414262</v>
      </c>
      <c r="I107" s="12">
        <v>11.5327125630788</v>
      </c>
      <c r="J107" s="3">
        <v>721</v>
      </c>
      <c r="K107" s="3" t="b">
        <f>TRUE()</f>
        <v>1</v>
      </c>
      <c r="L107" s="3" t="b">
        <f>TRUE()</f>
        <v>1</v>
      </c>
      <c r="M107" s="3" t="s">
        <v>1174</v>
      </c>
      <c r="N107" s="3" t="s">
        <v>85</v>
      </c>
      <c r="O107" s="3" t="b">
        <f>TRUE()</f>
        <v>1</v>
      </c>
      <c r="P107" s="3" t="s">
        <v>1175</v>
      </c>
    </row>
    <row r="108" customHeight="1" spans="1:16">
      <c r="A108" s="3" t="s">
        <v>320</v>
      </c>
      <c r="B108" s="3" t="s">
        <v>321</v>
      </c>
      <c r="C108" s="3">
        <v>158049</v>
      </c>
      <c r="D108" s="3">
        <v>0</v>
      </c>
      <c r="E108" s="3">
        <v>790000</v>
      </c>
      <c r="F108" s="3">
        <v>48</v>
      </c>
      <c r="G108" s="3">
        <v>11.2</v>
      </c>
      <c r="H108" s="3">
        <v>20494.7773144795</v>
      </c>
      <c r="I108" s="12">
        <v>12.9673565251786</v>
      </c>
      <c r="J108" s="3">
        <v>624</v>
      </c>
      <c r="K108" s="3" t="b">
        <f>TRUE()</f>
        <v>1</v>
      </c>
      <c r="L108" s="3" t="b">
        <f>FALSE()</f>
        <v>0</v>
      </c>
      <c r="M108" s="3" t="s">
        <v>1171</v>
      </c>
      <c r="N108" s="3" t="s">
        <v>91</v>
      </c>
      <c r="O108" s="3" t="b">
        <f>TRUE()</f>
        <v>1</v>
      </c>
      <c r="P108" s="3" t="s">
        <v>1173</v>
      </c>
    </row>
    <row r="109" customHeight="1" spans="1:16">
      <c r="A109" s="3" t="s">
        <v>322</v>
      </c>
      <c r="B109" s="3" t="s">
        <v>323</v>
      </c>
      <c r="C109" s="3">
        <v>105609</v>
      </c>
      <c r="D109" s="3">
        <v>23511</v>
      </c>
      <c r="E109" s="3">
        <v>260000</v>
      </c>
      <c r="F109" s="3">
        <v>48</v>
      </c>
      <c r="G109" s="3">
        <v>11.14</v>
      </c>
      <c r="H109" s="3">
        <v>6737.52650783015</v>
      </c>
      <c r="I109" s="12">
        <v>28.6419969016184</v>
      </c>
      <c r="J109" s="3">
        <v>696</v>
      </c>
      <c r="K109" s="3" t="b">
        <f>TRUE()</f>
        <v>1</v>
      </c>
      <c r="L109" s="3" t="b">
        <f>FALSE()</f>
        <v>0</v>
      </c>
      <c r="M109" s="3" t="s">
        <v>1171</v>
      </c>
      <c r="N109" s="3" t="s">
        <v>85</v>
      </c>
      <c r="O109" s="3" t="b">
        <f>FALSE()</f>
        <v>0</v>
      </c>
      <c r="P109" s="3" t="s">
        <v>1172</v>
      </c>
    </row>
    <row r="110" customHeight="1" spans="1:16">
      <c r="A110" s="3" t="s">
        <v>324</v>
      </c>
      <c r="B110" s="3" t="s">
        <v>325</v>
      </c>
      <c r="C110" s="3">
        <v>132143</v>
      </c>
      <c r="D110" s="3">
        <v>5840</v>
      </c>
      <c r="E110" s="3">
        <v>690000</v>
      </c>
      <c r="F110" s="3">
        <v>60</v>
      </c>
      <c r="G110" s="3">
        <v>15.14</v>
      </c>
      <c r="H110" s="3">
        <v>16465.8018706028</v>
      </c>
      <c r="I110" s="12">
        <v>16.8800480317556</v>
      </c>
      <c r="J110" s="3">
        <v>757</v>
      </c>
      <c r="K110" s="3" t="b">
        <f>TRUE()</f>
        <v>1</v>
      </c>
      <c r="L110" s="3" t="b">
        <f t="shared" ref="L110:L117" si="6">TRUE()</f>
        <v>1</v>
      </c>
      <c r="M110" s="3" t="s">
        <v>1174</v>
      </c>
      <c r="N110" s="3" t="s">
        <v>85</v>
      </c>
      <c r="O110" s="3" t="b">
        <f>TRUE()</f>
        <v>1</v>
      </c>
      <c r="P110" s="3" t="s">
        <v>1175</v>
      </c>
    </row>
    <row r="111" customHeight="1" spans="1:16">
      <c r="A111" s="3" t="s">
        <v>326</v>
      </c>
      <c r="B111" s="3" t="s">
        <v>100</v>
      </c>
      <c r="C111" s="3">
        <v>104031</v>
      </c>
      <c r="D111" s="3">
        <v>31863</v>
      </c>
      <c r="E111" s="3">
        <v>4020000</v>
      </c>
      <c r="F111" s="3">
        <v>240</v>
      </c>
      <c r="G111" s="3">
        <v>8.5</v>
      </c>
      <c r="H111" s="3">
        <v>34886.4939812945</v>
      </c>
      <c r="I111" s="12">
        <v>64.1630802177183</v>
      </c>
      <c r="J111" s="3">
        <v>707</v>
      </c>
      <c r="K111" s="3" t="b">
        <f>FALSE()</f>
        <v>0</v>
      </c>
      <c r="L111" s="3" t="b">
        <f t="shared" si="6"/>
        <v>1</v>
      </c>
      <c r="M111" s="3" t="s">
        <v>1171</v>
      </c>
      <c r="N111" s="3" t="s">
        <v>85</v>
      </c>
      <c r="O111" s="3" t="b">
        <f>FALSE()</f>
        <v>0</v>
      </c>
      <c r="P111" s="3" t="s">
        <v>1172</v>
      </c>
    </row>
    <row r="112" customHeight="1" spans="1:16">
      <c r="A112" s="3" t="s">
        <v>327</v>
      </c>
      <c r="B112" s="3" t="s">
        <v>328</v>
      </c>
      <c r="C112" s="3">
        <v>143430</v>
      </c>
      <c r="D112" s="3">
        <v>27992</v>
      </c>
      <c r="E112" s="3">
        <v>1490000</v>
      </c>
      <c r="F112" s="3">
        <v>60</v>
      </c>
      <c r="G112" s="3">
        <v>13.61</v>
      </c>
      <c r="H112" s="3">
        <v>34369.167381093</v>
      </c>
      <c r="I112" s="12">
        <v>43.4784685080478</v>
      </c>
      <c r="J112" s="3">
        <v>751</v>
      </c>
      <c r="K112" s="3" t="b">
        <f>TRUE()</f>
        <v>1</v>
      </c>
      <c r="L112" s="3" t="b">
        <f t="shared" si="6"/>
        <v>1</v>
      </c>
      <c r="M112" s="3" t="s">
        <v>1174</v>
      </c>
      <c r="N112" s="3" t="s">
        <v>85</v>
      </c>
      <c r="O112" s="3" t="b">
        <f>TRUE()</f>
        <v>1</v>
      </c>
      <c r="P112" s="3" t="s">
        <v>1175</v>
      </c>
    </row>
    <row r="113" customHeight="1" spans="1:16">
      <c r="A113" s="3" t="s">
        <v>329</v>
      </c>
      <c r="B113" s="3" t="s">
        <v>330</v>
      </c>
      <c r="C113" s="3">
        <v>33373</v>
      </c>
      <c r="D113" s="3">
        <v>8777</v>
      </c>
      <c r="E113" s="3">
        <v>800000</v>
      </c>
      <c r="F113" s="3">
        <v>48</v>
      </c>
      <c r="G113" s="3">
        <v>12.02</v>
      </c>
      <c r="H113" s="3">
        <v>21074.9250587708</v>
      </c>
      <c r="I113" s="12">
        <v>89.4493304730495</v>
      </c>
      <c r="J113" s="3">
        <v>774</v>
      </c>
      <c r="K113" s="3" t="b">
        <f>FALSE()</f>
        <v>0</v>
      </c>
      <c r="L113" s="3" t="b">
        <f t="shared" si="6"/>
        <v>1</v>
      </c>
      <c r="M113" s="3" t="s">
        <v>1171</v>
      </c>
      <c r="N113" s="3" t="s">
        <v>85</v>
      </c>
      <c r="O113" s="3" t="b">
        <f>FALSE()</f>
        <v>0</v>
      </c>
      <c r="P113" s="3" t="s">
        <v>1172</v>
      </c>
    </row>
    <row r="114" customHeight="1" spans="1:16">
      <c r="A114" s="3" t="s">
        <v>331</v>
      </c>
      <c r="B114" s="3" t="s">
        <v>332</v>
      </c>
      <c r="C114" s="3">
        <v>44575</v>
      </c>
      <c r="D114" s="3">
        <v>0</v>
      </c>
      <c r="E114" s="3">
        <v>1080000</v>
      </c>
      <c r="F114" s="3">
        <v>84</v>
      </c>
      <c r="G114" s="3">
        <v>10.2</v>
      </c>
      <c r="H114" s="3">
        <v>18041.082435135</v>
      </c>
      <c r="I114" s="12">
        <v>40.4735444422546</v>
      </c>
      <c r="J114" s="3">
        <v>796</v>
      </c>
      <c r="K114" s="3" t="b">
        <f t="shared" ref="K114:K123" si="7">TRUE()</f>
        <v>1</v>
      </c>
      <c r="L114" s="3" t="b">
        <f t="shared" si="6"/>
        <v>1</v>
      </c>
      <c r="M114" s="3" t="s">
        <v>1174</v>
      </c>
      <c r="N114" s="3" t="s">
        <v>85</v>
      </c>
      <c r="O114" s="3" t="b">
        <f>TRUE()</f>
        <v>1</v>
      </c>
      <c r="P114" s="3" t="s">
        <v>1175</v>
      </c>
    </row>
    <row r="115" customHeight="1" spans="1:16">
      <c r="A115" s="3" t="s">
        <v>333</v>
      </c>
      <c r="B115" s="3" t="s">
        <v>334</v>
      </c>
      <c r="C115" s="3">
        <v>40389</v>
      </c>
      <c r="D115" s="3">
        <v>0</v>
      </c>
      <c r="E115" s="3">
        <v>230000</v>
      </c>
      <c r="F115" s="3">
        <v>36</v>
      </c>
      <c r="G115" s="3">
        <v>13.75</v>
      </c>
      <c r="H115" s="3">
        <v>7832.95653738846</v>
      </c>
      <c r="I115" s="12">
        <v>19.3937867671605</v>
      </c>
      <c r="J115" s="3">
        <v>702</v>
      </c>
      <c r="K115" s="3" t="b">
        <f t="shared" si="7"/>
        <v>1</v>
      </c>
      <c r="L115" s="3" t="b">
        <f t="shared" si="6"/>
        <v>1</v>
      </c>
      <c r="M115" s="3" t="s">
        <v>1174</v>
      </c>
      <c r="N115" s="3" t="s">
        <v>85</v>
      </c>
      <c r="O115" s="3" t="b">
        <f>TRUE()</f>
        <v>1</v>
      </c>
      <c r="P115" s="3" t="s">
        <v>1175</v>
      </c>
    </row>
    <row r="116" customHeight="1" spans="1:16">
      <c r="A116" s="3" t="s">
        <v>335</v>
      </c>
      <c r="B116" s="3" t="s">
        <v>290</v>
      </c>
      <c r="C116" s="3">
        <v>72430</v>
      </c>
      <c r="D116" s="3">
        <v>0</v>
      </c>
      <c r="E116" s="3">
        <v>210000</v>
      </c>
      <c r="F116" s="3">
        <v>48</v>
      </c>
      <c r="G116" s="3">
        <v>10.8</v>
      </c>
      <c r="H116" s="3">
        <v>5407.18585664798</v>
      </c>
      <c r="I116" s="12">
        <v>7.46539535641029</v>
      </c>
      <c r="J116" s="3">
        <v>743</v>
      </c>
      <c r="K116" s="3" t="b">
        <f t="shared" si="7"/>
        <v>1</v>
      </c>
      <c r="L116" s="3" t="b">
        <f t="shared" si="6"/>
        <v>1</v>
      </c>
      <c r="M116" s="3" t="s">
        <v>1174</v>
      </c>
      <c r="N116" s="3" t="s">
        <v>85</v>
      </c>
      <c r="O116" s="3" t="b">
        <f>TRUE()</f>
        <v>1</v>
      </c>
      <c r="P116" s="3" t="s">
        <v>1175</v>
      </c>
    </row>
    <row r="117" customHeight="1" spans="1:16">
      <c r="A117" s="3" t="s">
        <v>336</v>
      </c>
      <c r="B117" s="3" t="s">
        <v>337</v>
      </c>
      <c r="C117" s="3">
        <v>116334</v>
      </c>
      <c r="D117" s="3">
        <v>0</v>
      </c>
      <c r="E117" s="3">
        <v>2020000</v>
      </c>
      <c r="F117" s="3">
        <v>240</v>
      </c>
      <c r="G117" s="3">
        <v>8.39</v>
      </c>
      <c r="H117" s="3">
        <v>17389.6501506803</v>
      </c>
      <c r="I117" s="12">
        <v>14.9480376765867</v>
      </c>
      <c r="J117" s="3">
        <v>735</v>
      </c>
      <c r="K117" s="3" t="b">
        <f t="shared" si="7"/>
        <v>1</v>
      </c>
      <c r="L117" s="3" t="b">
        <f t="shared" si="6"/>
        <v>1</v>
      </c>
      <c r="M117" s="3" t="s">
        <v>1174</v>
      </c>
      <c r="N117" s="3" t="s">
        <v>85</v>
      </c>
      <c r="O117" s="3" t="b">
        <f>TRUE()</f>
        <v>1</v>
      </c>
      <c r="P117" s="3" t="s">
        <v>1175</v>
      </c>
    </row>
    <row r="118" customHeight="1" spans="1:16">
      <c r="A118" s="3" t="s">
        <v>338</v>
      </c>
      <c r="B118" s="3" t="s">
        <v>339</v>
      </c>
      <c r="C118" s="3">
        <v>89819</v>
      </c>
      <c r="D118" s="3">
        <v>0</v>
      </c>
      <c r="E118" s="3">
        <v>310000</v>
      </c>
      <c r="F118" s="3">
        <v>84</v>
      </c>
      <c r="G118" s="3">
        <v>10.23</v>
      </c>
      <c r="H118" s="3">
        <v>5183.2823846572</v>
      </c>
      <c r="I118" s="12">
        <v>5.77080838648527</v>
      </c>
      <c r="J118" s="3">
        <v>697</v>
      </c>
      <c r="K118" s="3" t="b">
        <f t="shared" si="7"/>
        <v>1</v>
      </c>
      <c r="L118" s="3" t="b">
        <f>FALSE()</f>
        <v>0</v>
      </c>
      <c r="M118" s="3" t="s">
        <v>1171</v>
      </c>
      <c r="N118" s="3" t="s">
        <v>85</v>
      </c>
      <c r="O118" s="3" t="b">
        <f>FALSE()</f>
        <v>0</v>
      </c>
      <c r="P118" s="3" t="s">
        <v>1172</v>
      </c>
    </row>
    <row r="119" customHeight="1" spans="1:16">
      <c r="A119" s="3" t="s">
        <v>340</v>
      </c>
      <c r="B119" s="3" t="s">
        <v>80</v>
      </c>
      <c r="C119" s="3">
        <v>86832</v>
      </c>
      <c r="D119" s="3">
        <v>15995</v>
      </c>
      <c r="E119" s="3">
        <v>640000</v>
      </c>
      <c r="F119" s="3">
        <v>60</v>
      </c>
      <c r="G119" s="3">
        <v>14.68</v>
      </c>
      <c r="H119" s="3">
        <v>15118.2646982707</v>
      </c>
      <c r="I119" s="12">
        <v>35.831565204384</v>
      </c>
      <c r="J119" s="3">
        <v>743</v>
      </c>
      <c r="K119" s="3" t="b">
        <f t="shared" si="7"/>
        <v>1</v>
      </c>
      <c r="L119" s="3" t="b">
        <f>TRUE()</f>
        <v>1</v>
      </c>
      <c r="M119" s="3" t="s">
        <v>1174</v>
      </c>
      <c r="N119" s="3" t="s">
        <v>85</v>
      </c>
      <c r="O119" s="3" t="b">
        <f>TRUE()</f>
        <v>1</v>
      </c>
      <c r="P119" s="3" t="s">
        <v>1175</v>
      </c>
    </row>
    <row r="120" customHeight="1" spans="1:16">
      <c r="A120" s="3" t="s">
        <v>341</v>
      </c>
      <c r="B120" s="3" t="s">
        <v>342</v>
      </c>
      <c r="C120" s="3">
        <v>64319</v>
      </c>
      <c r="D120" s="3">
        <v>0</v>
      </c>
      <c r="E120" s="3">
        <v>470000</v>
      </c>
      <c r="F120" s="3">
        <v>48</v>
      </c>
      <c r="G120" s="3">
        <v>12.18</v>
      </c>
      <c r="H120" s="3">
        <v>12418.481205779</v>
      </c>
      <c r="I120" s="12">
        <v>19.3076403640899</v>
      </c>
      <c r="J120" s="3">
        <v>741</v>
      </c>
      <c r="K120" s="3" t="b">
        <f t="shared" si="7"/>
        <v>1</v>
      </c>
      <c r="L120" s="3" t="b">
        <f>TRUE()</f>
        <v>1</v>
      </c>
      <c r="M120" s="3" t="s">
        <v>1174</v>
      </c>
      <c r="N120" s="3" t="s">
        <v>85</v>
      </c>
      <c r="O120" s="3" t="b">
        <f>TRUE()</f>
        <v>1</v>
      </c>
      <c r="P120" s="3" t="s">
        <v>1175</v>
      </c>
    </row>
    <row r="121" customHeight="1" spans="1:16">
      <c r="A121" s="3" t="s">
        <v>343</v>
      </c>
      <c r="B121" s="3" t="s">
        <v>124</v>
      </c>
      <c r="C121" s="3">
        <v>114417</v>
      </c>
      <c r="D121" s="3">
        <v>31073</v>
      </c>
      <c r="E121" s="3">
        <v>460000</v>
      </c>
      <c r="F121" s="3">
        <v>36</v>
      </c>
      <c r="G121" s="3">
        <v>14.5</v>
      </c>
      <c r="H121" s="3">
        <v>15833.6496236944</v>
      </c>
      <c r="I121" s="12">
        <v>40.996224008403</v>
      </c>
      <c r="J121" s="3">
        <v>635</v>
      </c>
      <c r="K121" s="3" t="b">
        <f t="shared" si="7"/>
        <v>1</v>
      </c>
      <c r="L121" s="3" t="b">
        <f>FALSE()</f>
        <v>0</v>
      </c>
      <c r="M121" s="3" t="s">
        <v>1171</v>
      </c>
      <c r="N121" s="3" t="s">
        <v>85</v>
      </c>
      <c r="O121" s="3" t="b">
        <f>FALSE()</f>
        <v>0</v>
      </c>
      <c r="P121" s="3" t="s">
        <v>1172</v>
      </c>
    </row>
    <row r="122" customHeight="1" spans="1:16">
      <c r="A122" s="3" t="s">
        <v>344</v>
      </c>
      <c r="B122" s="3" t="s">
        <v>345</v>
      </c>
      <c r="C122" s="3">
        <v>132736</v>
      </c>
      <c r="D122" s="3">
        <v>12355</v>
      </c>
      <c r="E122" s="3">
        <v>1250000</v>
      </c>
      <c r="F122" s="3">
        <v>240</v>
      </c>
      <c r="G122" s="3">
        <v>8.71</v>
      </c>
      <c r="H122" s="3">
        <v>11014.5008899825</v>
      </c>
      <c r="I122" s="12">
        <v>17.6060005499506</v>
      </c>
      <c r="J122" s="3">
        <v>733</v>
      </c>
      <c r="K122" s="3" t="b">
        <f t="shared" si="7"/>
        <v>1</v>
      </c>
      <c r="L122" s="3" t="b">
        <f t="shared" ref="L122:L128" si="8">TRUE()</f>
        <v>1</v>
      </c>
      <c r="M122" s="3" t="s">
        <v>1174</v>
      </c>
      <c r="N122" s="3" t="s">
        <v>85</v>
      </c>
      <c r="O122" s="3" t="b">
        <f>TRUE()</f>
        <v>1</v>
      </c>
      <c r="P122" s="3" t="s">
        <v>1175</v>
      </c>
    </row>
    <row r="123" customHeight="1" spans="1:16">
      <c r="A123" s="3" t="s">
        <v>346</v>
      </c>
      <c r="B123" s="3" t="s">
        <v>347</v>
      </c>
      <c r="C123" s="3">
        <v>59176</v>
      </c>
      <c r="D123" s="3">
        <v>0</v>
      </c>
      <c r="E123" s="3">
        <v>850000</v>
      </c>
      <c r="F123" s="3">
        <v>60</v>
      </c>
      <c r="G123" s="3">
        <v>10.6</v>
      </c>
      <c r="H123" s="3">
        <v>18311.9509667916</v>
      </c>
      <c r="I123" s="12">
        <v>30.9448948337022</v>
      </c>
      <c r="J123" s="3">
        <v>880</v>
      </c>
      <c r="K123" s="3" t="b">
        <f t="shared" si="7"/>
        <v>1</v>
      </c>
      <c r="L123" s="3" t="b">
        <f t="shared" si="8"/>
        <v>1</v>
      </c>
      <c r="M123" s="3" t="s">
        <v>1174</v>
      </c>
      <c r="N123" s="3" t="s">
        <v>85</v>
      </c>
      <c r="O123" s="3" t="b">
        <f>TRUE()</f>
        <v>1</v>
      </c>
      <c r="P123" s="3" t="s">
        <v>1175</v>
      </c>
    </row>
    <row r="124" customHeight="1" spans="1:16">
      <c r="A124" s="3" t="s">
        <v>348</v>
      </c>
      <c r="B124" s="3" t="s">
        <v>349</v>
      </c>
      <c r="C124" s="3">
        <v>53569</v>
      </c>
      <c r="D124" s="3">
        <v>14990</v>
      </c>
      <c r="E124" s="3">
        <v>3690000</v>
      </c>
      <c r="F124" s="3">
        <v>240</v>
      </c>
      <c r="G124" s="3">
        <v>9.16</v>
      </c>
      <c r="H124" s="3">
        <v>33580.5417003673</v>
      </c>
      <c r="I124" s="12">
        <v>90.6691215075272</v>
      </c>
      <c r="J124" s="3">
        <v>811</v>
      </c>
      <c r="K124" s="3" t="b">
        <f>FALSE()</f>
        <v>0</v>
      </c>
      <c r="L124" s="3" t="b">
        <f t="shared" si="8"/>
        <v>1</v>
      </c>
      <c r="M124" s="3" t="s">
        <v>1171</v>
      </c>
      <c r="N124" s="3" t="s">
        <v>85</v>
      </c>
      <c r="O124" s="3" t="b">
        <f>FALSE()</f>
        <v>0</v>
      </c>
      <c r="P124" s="3" t="s">
        <v>1172</v>
      </c>
    </row>
    <row r="125" customHeight="1" spans="1:16">
      <c r="A125" s="3" t="s">
        <v>350</v>
      </c>
      <c r="B125" s="3" t="s">
        <v>351</v>
      </c>
      <c r="C125" s="3">
        <v>33687</v>
      </c>
      <c r="D125" s="3">
        <v>10154</v>
      </c>
      <c r="E125" s="3">
        <v>1200000</v>
      </c>
      <c r="F125" s="3">
        <v>60</v>
      </c>
      <c r="G125" s="3">
        <v>13.98</v>
      </c>
      <c r="H125" s="3">
        <v>27909.4600858622</v>
      </c>
      <c r="I125" s="12">
        <v>112.991540017996</v>
      </c>
      <c r="J125" s="3">
        <v>748</v>
      </c>
      <c r="K125" s="3" t="b">
        <f>FALSE()</f>
        <v>0</v>
      </c>
      <c r="L125" s="3" t="b">
        <f t="shared" si="8"/>
        <v>1</v>
      </c>
      <c r="M125" s="3" t="s">
        <v>1171</v>
      </c>
      <c r="N125" s="3" t="s">
        <v>85</v>
      </c>
      <c r="O125" s="3" t="b">
        <f>FALSE()</f>
        <v>0</v>
      </c>
      <c r="P125" s="3" t="s">
        <v>1172</v>
      </c>
    </row>
    <row r="126" customHeight="1" spans="1:16">
      <c r="A126" s="3" t="s">
        <v>352</v>
      </c>
      <c r="B126" s="3" t="s">
        <v>353</v>
      </c>
      <c r="C126" s="3">
        <v>35841</v>
      </c>
      <c r="D126" s="3">
        <v>0</v>
      </c>
      <c r="E126" s="3">
        <v>390000</v>
      </c>
      <c r="F126" s="3">
        <v>36</v>
      </c>
      <c r="G126" s="3">
        <v>13.78</v>
      </c>
      <c r="H126" s="3">
        <v>13287.6413016949</v>
      </c>
      <c r="I126" s="12">
        <v>37.0738575979881</v>
      </c>
      <c r="J126" s="3">
        <v>746</v>
      </c>
      <c r="K126" s="3" t="b">
        <f>TRUE()</f>
        <v>1</v>
      </c>
      <c r="L126" s="3" t="b">
        <f t="shared" si="8"/>
        <v>1</v>
      </c>
      <c r="M126" s="3" t="s">
        <v>1174</v>
      </c>
      <c r="N126" s="3" t="s">
        <v>85</v>
      </c>
      <c r="O126" s="3" t="b">
        <f>TRUE()</f>
        <v>1</v>
      </c>
      <c r="P126" s="3" t="s">
        <v>1175</v>
      </c>
    </row>
    <row r="127" customHeight="1" spans="1:16">
      <c r="A127" s="3" t="s">
        <v>354</v>
      </c>
      <c r="B127" s="3" t="s">
        <v>355</v>
      </c>
      <c r="C127" s="3">
        <v>44906</v>
      </c>
      <c r="D127" s="3">
        <v>15862</v>
      </c>
      <c r="E127" s="3">
        <v>470000</v>
      </c>
      <c r="F127" s="3">
        <v>84</v>
      </c>
      <c r="G127" s="3">
        <v>11.03</v>
      </c>
      <c r="H127" s="3">
        <v>8054.96070572346</v>
      </c>
      <c r="I127" s="12">
        <v>53.2600559072807</v>
      </c>
      <c r="J127" s="3">
        <v>737</v>
      </c>
      <c r="K127" s="3" t="b">
        <f>FALSE()</f>
        <v>0</v>
      </c>
      <c r="L127" s="3" t="b">
        <f t="shared" si="8"/>
        <v>1</v>
      </c>
      <c r="M127" s="3" t="s">
        <v>1171</v>
      </c>
      <c r="N127" s="3" t="s">
        <v>85</v>
      </c>
      <c r="O127" s="3" t="b">
        <f>FALSE()</f>
        <v>0</v>
      </c>
      <c r="P127" s="3" t="s">
        <v>1172</v>
      </c>
    </row>
    <row r="128" customHeight="1" spans="1:16">
      <c r="A128" s="3" t="s">
        <v>356</v>
      </c>
      <c r="B128" s="3" t="s">
        <v>357</v>
      </c>
      <c r="C128" s="3">
        <v>75636</v>
      </c>
      <c r="D128" s="3">
        <v>0</v>
      </c>
      <c r="E128" s="3">
        <v>950000</v>
      </c>
      <c r="F128" s="3">
        <v>60</v>
      </c>
      <c r="G128" s="3">
        <v>9.9</v>
      </c>
      <c r="H128" s="3">
        <v>20137.9803810981</v>
      </c>
      <c r="I128" s="12">
        <v>26.6248616810752</v>
      </c>
      <c r="J128" s="3">
        <v>711</v>
      </c>
      <c r="K128" s="3" t="b">
        <f>TRUE()</f>
        <v>1</v>
      </c>
      <c r="L128" s="3" t="b">
        <f t="shared" si="8"/>
        <v>1</v>
      </c>
      <c r="M128" s="3" t="s">
        <v>1174</v>
      </c>
      <c r="N128" s="3" t="s">
        <v>85</v>
      </c>
      <c r="O128" s="3" t="b">
        <f>TRUE()</f>
        <v>1</v>
      </c>
      <c r="P128" s="3" t="s">
        <v>1175</v>
      </c>
    </row>
    <row r="129" customHeight="1" spans="1:16">
      <c r="A129" s="3" t="s">
        <v>358</v>
      </c>
      <c r="B129" s="3" t="s">
        <v>359</v>
      </c>
      <c r="C129" s="3">
        <v>113746</v>
      </c>
      <c r="D129" s="3">
        <v>0</v>
      </c>
      <c r="E129" s="3">
        <v>470000</v>
      </c>
      <c r="F129" s="3">
        <v>36</v>
      </c>
      <c r="G129" s="3">
        <v>13.28</v>
      </c>
      <c r="H129" s="3">
        <v>15899.6185342024</v>
      </c>
      <c r="I129" s="12">
        <v>13.9781781638057</v>
      </c>
      <c r="J129" s="3">
        <v>674</v>
      </c>
      <c r="K129" s="3" t="b">
        <f>TRUE()</f>
        <v>1</v>
      </c>
      <c r="L129" s="3" t="b">
        <f>FALSE()</f>
        <v>0</v>
      </c>
      <c r="M129" s="3" t="s">
        <v>1171</v>
      </c>
      <c r="N129" s="3" t="s">
        <v>85</v>
      </c>
      <c r="O129" s="3" t="b">
        <f>FALSE()</f>
        <v>0</v>
      </c>
      <c r="P129" s="3" t="s">
        <v>1172</v>
      </c>
    </row>
    <row r="130" customHeight="1" spans="1:16">
      <c r="A130" s="3" t="s">
        <v>360</v>
      </c>
      <c r="B130" s="3" t="s">
        <v>361</v>
      </c>
      <c r="C130" s="3">
        <v>50328</v>
      </c>
      <c r="D130" s="3">
        <v>0</v>
      </c>
      <c r="E130" s="3">
        <v>1750000</v>
      </c>
      <c r="F130" s="3">
        <v>60</v>
      </c>
      <c r="G130" s="3">
        <v>15.16</v>
      </c>
      <c r="H130" s="3">
        <v>41779.4974611787</v>
      </c>
      <c r="I130" s="12">
        <v>83.0144203250252</v>
      </c>
      <c r="J130" s="3">
        <v>656</v>
      </c>
      <c r="K130" s="3" t="b">
        <f>FALSE()</f>
        <v>0</v>
      </c>
      <c r="L130" s="3" t="b">
        <f>FALSE()</f>
        <v>0</v>
      </c>
      <c r="M130" s="3" t="s">
        <v>1171</v>
      </c>
      <c r="N130" s="3" t="s">
        <v>85</v>
      </c>
      <c r="O130" s="3" t="b">
        <f>FALSE()</f>
        <v>0</v>
      </c>
      <c r="P130" s="3" t="s">
        <v>1172</v>
      </c>
    </row>
    <row r="131" customHeight="1" spans="1:16">
      <c r="A131" s="3" t="s">
        <v>362</v>
      </c>
      <c r="B131" s="3" t="s">
        <v>361</v>
      </c>
      <c r="C131" s="3">
        <v>39943</v>
      </c>
      <c r="D131" s="3">
        <v>655</v>
      </c>
      <c r="E131" s="3">
        <v>1530000</v>
      </c>
      <c r="F131" s="3">
        <v>60</v>
      </c>
      <c r="G131" s="3">
        <v>14.53</v>
      </c>
      <c r="H131" s="3">
        <v>36022.2196910647</v>
      </c>
      <c r="I131" s="12">
        <v>91.8238982827146</v>
      </c>
      <c r="J131" s="3">
        <v>667</v>
      </c>
      <c r="K131" s="3" t="b">
        <f>FALSE()</f>
        <v>0</v>
      </c>
      <c r="L131" s="3" t="b">
        <f>FALSE()</f>
        <v>0</v>
      </c>
      <c r="M131" s="3" t="s">
        <v>1171</v>
      </c>
      <c r="N131" s="3" t="s">
        <v>85</v>
      </c>
      <c r="O131" s="3" t="b">
        <f>FALSE()</f>
        <v>0</v>
      </c>
      <c r="P131" s="3" t="s">
        <v>1172</v>
      </c>
    </row>
    <row r="132" customHeight="1" spans="1:16">
      <c r="A132" s="3" t="s">
        <v>363</v>
      </c>
      <c r="B132" s="3" t="s">
        <v>364</v>
      </c>
      <c r="C132" s="3">
        <v>96606</v>
      </c>
      <c r="D132" s="3">
        <v>0</v>
      </c>
      <c r="E132" s="3">
        <v>1850000</v>
      </c>
      <c r="F132" s="3">
        <v>60</v>
      </c>
      <c r="G132" s="3">
        <v>13.75</v>
      </c>
      <c r="H132" s="3">
        <v>42806.8629735797</v>
      </c>
      <c r="I132" s="12">
        <v>44.3107705252052</v>
      </c>
      <c r="J132" s="3">
        <v>746</v>
      </c>
      <c r="K132" s="3" t="b">
        <f>TRUE()</f>
        <v>1</v>
      </c>
      <c r="L132" s="3" t="b">
        <f>TRUE()</f>
        <v>1</v>
      </c>
      <c r="M132" s="3" t="s">
        <v>1174</v>
      </c>
      <c r="N132" s="3" t="s">
        <v>85</v>
      </c>
      <c r="O132" s="3" t="b">
        <f>TRUE()</f>
        <v>1</v>
      </c>
      <c r="P132" s="3" t="s">
        <v>1175</v>
      </c>
    </row>
    <row r="133" customHeight="1" spans="1:16">
      <c r="A133" s="3" t="s">
        <v>365</v>
      </c>
      <c r="B133" s="3" t="s">
        <v>366</v>
      </c>
      <c r="C133" s="3">
        <v>40642</v>
      </c>
      <c r="D133" s="3">
        <v>0</v>
      </c>
      <c r="E133" s="3">
        <v>820000</v>
      </c>
      <c r="F133" s="3">
        <v>84</v>
      </c>
      <c r="G133" s="3">
        <v>10.3</v>
      </c>
      <c r="H133" s="3">
        <v>13740.4151846581</v>
      </c>
      <c r="I133" s="12">
        <v>33.8084129340536</v>
      </c>
      <c r="J133" s="3">
        <v>688</v>
      </c>
      <c r="K133" s="3" t="b">
        <f>TRUE()</f>
        <v>1</v>
      </c>
      <c r="L133" s="3" t="b">
        <f>FALSE()</f>
        <v>0</v>
      </c>
      <c r="M133" s="3" t="s">
        <v>1171</v>
      </c>
      <c r="N133" s="3" t="s">
        <v>85</v>
      </c>
      <c r="O133" s="3" t="b">
        <f>FALSE()</f>
        <v>0</v>
      </c>
      <c r="P133" s="3" t="s">
        <v>1172</v>
      </c>
    </row>
    <row r="134" customHeight="1" spans="1:16">
      <c r="A134" s="3" t="s">
        <v>367</v>
      </c>
      <c r="B134" s="3" t="s">
        <v>368</v>
      </c>
      <c r="C134" s="3">
        <v>61436</v>
      </c>
      <c r="D134" s="3">
        <v>0</v>
      </c>
      <c r="E134" s="3">
        <v>1720000</v>
      </c>
      <c r="F134" s="3">
        <v>60</v>
      </c>
      <c r="G134" s="3">
        <v>13.7</v>
      </c>
      <c r="H134" s="3">
        <v>39754.3814738691</v>
      </c>
      <c r="I134" s="12">
        <v>64.7086097302381</v>
      </c>
      <c r="J134" s="3">
        <v>686</v>
      </c>
      <c r="K134" s="3" t="b">
        <f>FALSE()</f>
        <v>0</v>
      </c>
      <c r="L134" s="3" t="b">
        <f>FALSE()</f>
        <v>0</v>
      </c>
      <c r="M134" s="3" t="s">
        <v>1171</v>
      </c>
      <c r="N134" s="3" t="s">
        <v>85</v>
      </c>
      <c r="O134" s="3" t="b">
        <f>FALSE()</f>
        <v>0</v>
      </c>
      <c r="P134" s="3" t="s">
        <v>1172</v>
      </c>
    </row>
    <row r="135" customHeight="1" spans="1:16">
      <c r="A135" s="3" t="s">
        <v>369</v>
      </c>
      <c r="B135" s="3" t="s">
        <v>370</v>
      </c>
      <c r="C135" s="3">
        <v>74289</v>
      </c>
      <c r="D135" s="3">
        <v>22482</v>
      </c>
      <c r="E135" s="3">
        <v>1040000</v>
      </c>
      <c r="F135" s="3">
        <v>60</v>
      </c>
      <c r="G135" s="3">
        <v>14.73</v>
      </c>
      <c r="H135" s="3">
        <v>24594.3765372429</v>
      </c>
      <c r="I135" s="12">
        <v>63.3692424682563</v>
      </c>
      <c r="J135" s="3">
        <v>696</v>
      </c>
      <c r="K135" s="3" t="b">
        <f>FALSE()</f>
        <v>0</v>
      </c>
      <c r="L135" s="3" t="b">
        <f>FALSE()</f>
        <v>0</v>
      </c>
      <c r="M135" s="3" t="s">
        <v>1171</v>
      </c>
      <c r="N135" s="3" t="s">
        <v>85</v>
      </c>
      <c r="O135" s="3" t="b">
        <f>FALSE()</f>
        <v>0</v>
      </c>
      <c r="P135" s="3" t="s">
        <v>1172</v>
      </c>
    </row>
    <row r="136" customHeight="1" spans="1:16">
      <c r="A136" s="3" t="s">
        <v>371</v>
      </c>
      <c r="B136" s="3" t="s">
        <v>372</v>
      </c>
      <c r="C136" s="3">
        <v>94725</v>
      </c>
      <c r="D136" s="3">
        <v>38061</v>
      </c>
      <c r="E136" s="3">
        <v>1350000</v>
      </c>
      <c r="F136" s="3">
        <v>60</v>
      </c>
      <c r="G136" s="3">
        <v>14.31</v>
      </c>
      <c r="H136" s="3">
        <v>31629.5260273233</v>
      </c>
      <c r="I136" s="12">
        <v>73.5714183450232</v>
      </c>
      <c r="J136" s="3">
        <v>739</v>
      </c>
      <c r="K136" s="3" t="b">
        <f>FALSE()</f>
        <v>0</v>
      </c>
      <c r="L136" s="3" t="b">
        <f t="shared" ref="L136:L141" si="9">TRUE()</f>
        <v>1</v>
      </c>
      <c r="M136" s="3" t="s">
        <v>1171</v>
      </c>
      <c r="N136" s="3" t="s">
        <v>85</v>
      </c>
      <c r="O136" s="3" t="b">
        <f>FALSE()</f>
        <v>0</v>
      </c>
      <c r="P136" s="3" t="s">
        <v>1172</v>
      </c>
    </row>
    <row r="137" customHeight="1" spans="1:16">
      <c r="A137" s="3" t="s">
        <v>373</v>
      </c>
      <c r="B137" s="3" t="s">
        <v>374</v>
      </c>
      <c r="C137" s="3">
        <v>91822</v>
      </c>
      <c r="D137" s="3">
        <v>0</v>
      </c>
      <c r="E137" s="3">
        <v>480000</v>
      </c>
      <c r="F137" s="3">
        <v>48</v>
      </c>
      <c r="G137" s="3">
        <v>12.14</v>
      </c>
      <c r="H137" s="3">
        <v>12673.2607593126</v>
      </c>
      <c r="I137" s="12">
        <v>13.8019872789882</v>
      </c>
      <c r="J137" s="3">
        <v>783</v>
      </c>
      <c r="K137" s="3" t="b">
        <f>TRUE()</f>
        <v>1</v>
      </c>
      <c r="L137" s="3" t="b">
        <f t="shared" si="9"/>
        <v>1</v>
      </c>
      <c r="M137" s="3" t="s">
        <v>1174</v>
      </c>
      <c r="N137" s="3" t="s">
        <v>85</v>
      </c>
      <c r="O137" s="3" t="b">
        <f>TRUE()</f>
        <v>1</v>
      </c>
      <c r="P137" s="3" t="s">
        <v>1175</v>
      </c>
    </row>
    <row r="138" customHeight="1" spans="1:16">
      <c r="A138" s="3" t="s">
        <v>375</v>
      </c>
      <c r="B138" s="3" t="s">
        <v>376</v>
      </c>
      <c r="C138" s="3">
        <v>57608</v>
      </c>
      <c r="D138" s="3">
        <v>0</v>
      </c>
      <c r="E138" s="3">
        <v>440000</v>
      </c>
      <c r="F138" s="3">
        <v>36</v>
      </c>
      <c r="G138" s="3">
        <v>14.34</v>
      </c>
      <c r="H138" s="3">
        <v>15110.9186472035</v>
      </c>
      <c r="I138" s="12">
        <v>26.2305906249193</v>
      </c>
      <c r="J138" s="3">
        <v>724</v>
      </c>
      <c r="K138" s="3" t="b">
        <f>TRUE()</f>
        <v>1</v>
      </c>
      <c r="L138" s="3" t="b">
        <f t="shared" si="9"/>
        <v>1</v>
      </c>
      <c r="M138" s="3" t="s">
        <v>1174</v>
      </c>
      <c r="N138" s="3" t="s">
        <v>85</v>
      </c>
      <c r="O138" s="3" t="b">
        <f>TRUE()</f>
        <v>1</v>
      </c>
      <c r="P138" s="3" t="s">
        <v>1175</v>
      </c>
    </row>
    <row r="139" customHeight="1" spans="1:16">
      <c r="A139" s="3" t="s">
        <v>377</v>
      </c>
      <c r="B139" s="3" t="s">
        <v>378</v>
      </c>
      <c r="C139" s="3">
        <v>35847</v>
      </c>
      <c r="D139" s="3">
        <v>13384</v>
      </c>
      <c r="E139" s="3">
        <v>1470000</v>
      </c>
      <c r="F139" s="3">
        <v>240</v>
      </c>
      <c r="G139" s="3">
        <v>9.34</v>
      </c>
      <c r="H139" s="3">
        <v>13549.1059799085</v>
      </c>
      <c r="I139" s="12">
        <v>75.1335006553087</v>
      </c>
      <c r="J139" s="3">
        <v>813</v>
      </c>
      <c r="K139" s="3" t="b">
        <f>FALSE()</f>
        <v>0</v>
      </c>
      <c r="L139" s="3" t="b">
        <f t="shared" si="9"/>
        <v>1</v>
      </c>
      <c r="M139" s="3" t="s">
        <v>1171</v>
      </c>
      <c r="N139" s="3" t="s">
        <v>85</v>
      </c>
      <c r="O139" s="3" t="b">
        <f>FALSE()</f>
        <v>0</v>
      </c>
      <c r="P139" s="3" t="s">
        <v>1172</v>
      </c>
    </row>
    <row r="140" customHeight="1" spans="1:16">
      <c r="A140" s="3" t="s">
        <v>379</v>
      </c>
      <c r="B140" s="3" t="s">
        <v>380</v>
      </c>
      <c r="C140" s="3">
        <v>77444</v>
      </c>
      <c r="D140" s="3">
        <v>0</v>
      </c>
      <c r="E140" s="3">
        <v>840000</v>
      </c>
      <c r="F140" s="3">
        <v>60</v>
      </c>
      <c r="G140" s="3">
        <v>15.15</v>
      </c>
      <c r="H140" s="3">
        <v>20049.7411284069</v>
      </c>
      <c r="I140" s="12">
        <v>25.8893408506881</v>
      </c>
      <c r="J140" s="3">
        <v>750</v>
      </c>
      <c r="K140" s="3" t="b">
        <f>TRUE()</f>
        <v>1</v>
      </c>
      <c r="L140" s="3" t="b">
        <f t="shared" si="9"/>
        <v>1</v>
      </c>
      <c r="M140" s="3" t="s">
        <v>1174</v>
      </c>
      <c r="N140" s="3" t="s">
        <v>85</v>
      </c>
      <c r="O140" s="3" t="b">
        <f>TRUE()</f>
        <v>1</v>
      </c>
      <c r="P140" s="3" t="s">
        <v>1175</v>
      </c>
    </row>
    <row r="141" customHeight="1" spans="1:16">
      <c r="A141" s="3" t="s">
        <v>381</v>
      </c>
      <c r="B141" s="3" t="s">
        <v>382</v>
      </c>
      <c r="C141" s="3">
        <v>25861</v>
      </c>
      <c r="D141" s="3">
        <v>0</v>
      </c>
      <c r="E141" s="3">
        <v>1340000</v>
      </c>
      <c r="F141" s="3">
        <v>84</v>
      </c>
      <c r="G141" s="3">
        <v>10.66</v>
      </c>
      <c r="H141" s="3">
        <v>22705.2153874612</v>
      </c>
      <c r="I141" s="12">
        <v>87.797128446159</v>
      </c>
      <c r="J141" s="3">
        <v>712</v>
      </c>
      <c r="K141" s="3" t="b">
        <f>FALSE()</f>
        <v>0</v>
      </c>
      <c r="L141" s="3" t="b">
        <f t="shared" si="9"/>
        <v>1</v>
      </c>
      <c r="M141" s="3" t="s">
        <v>1171</v>
      </c>
      <c r="N141" s="3" t="s">
        <v>85</v>
      </c>
      <c r="O141" s="3" t="b">
        <f>FALSE()</f>
        <v>0</v>
      </c>
      <c r="P141" s="3" t="s">
        <v>1172</v>
      </c>
    </row>
    <row r="142" customHeight="1" spans="1:16">
      <c r="A142" s="3" t="s">
        <v>383</v>
      </c>
      <c r="B142" s="3" t="s">
        <v>384</v>
      </c>
      <c r="C142" s="3">
        <v>46466</v>
      </c>
      <c r="D142" s="3">
        <v>1045</v>
      </c>
      <c r="E142" s="3">
        <v>3340000</v>
      </c>
      <c r="F142" s="3">
        <v>240</v>
      </c>
      <c r="G142" s="3">
        <v>9.57</v>
      </c>
      <c r="H142" s="3">
        <v>31286.0151008572</v>
      </c>
      <c r="I142" s="12">
        <v>69.5799403883639</v>
      </c>
      <c r="J142" s="3">
        <v>653</v>
      </c>
      <c r="K142" s="3" t="b">
        <f>FALSE()</f>
        <v>0</v>
      </c>
      <c r="L142" s="3" t="b">
        <f>FALSE()</f>
        <v>0</v>
      </c>
      <c r="M142" s="3" t="s">
        <v>1171</v>
      </c>
      <c r="N142" s="3" t="s">
        <v>91</v>
      </c>
      <c r="O142" s="3" t="b">
        <f>TRUE()</f>
        <v>1</v>
      </c>
      <c r="P142" s="3" t="s">
        <v>1173</v>
      </c>
    </row>
    <row r="143" customHeight="1" spans="1:16">
      <c r="A143" s="3" t="s">
        <v>385</v>
      </c>
      <c r="B143" s="3" t="s">
        <v>386</v>
      </c>
      <c r="C143" s="3">
        <v>104822</v>
      </c>
      <c r="D143" s="3">
        <v>0</v>
      </c>
      <c r="E143" s="3">
        <v>270000</v>
      </c>
      <c r="F143" s="3">
        <v>36</v>
      </c>
      <c r="G143" s="3">
        <v>14.39</v>
      </c>
      <c r="H143" s="3">
        <v>9279.18579497414</v>
      </c>
      <c r="I143" s="12">
        <v>8.85232660603131</v>
      </c>
      <c r="J143" s="3">
        <v>631</v>
      </c>
      <c r="K143" s="3" t="b">
        <f>TRUE()</f>
        <v>1</v>
      </c>
      <c r="L143" s="3" t="b">
        <f>FALSE()</f>
        <v>0</v>
      </c>
      <c r="M143" s="3" t="s">
        <v>1171</v>
      </c>
      <c r="N143" s="3" t="s">
        <v>85</v>
      </c>
      <c r="O143" s="3" t="b">
        <f t="shared" ref="O143:O149" si="10">FALSE()</f>
        <v>0</v>
      </c>
      <c r="P143" s="3" t="s">
        <v>1172</v>
      </c>
    </row>
    <row r="144" customHeight="1" spans="1:16">
      <c r="A144" s="3" t="s">
        <v>387</v>
      </c>
      <c r="B144" s="3" t="s">
        <v>388</v>
      </c>
      <c r="C144" s="3">
        <v>19647</v>
      </c>
      <c r="D144" s="3">
        <v>0</v>
      </c>
      <c r="E144" s="3">
        <v>490000</v>
      </c>
      <c r="F144" s="3">
        <v>84</v>
      </c>
      <c r="G144" s="3">
        <v>10.22</v>
      </c>
      <c r="H144" s="3">
        <v>8190.3883399991</v>
      </c>
      <c r="I144" s="12">
        <v>41.687730136912</v>
      </c>
      <c r="J144" s="3">
        <v>637</v>
      </c>
      <c r="K144" s="3" t="b">
        <f>TRUE()</f>
        <v>1</v>
      </c>
      <c r="L144" s="3" t="b">
        <f>FALSE()</f>
        <v>0</v>
      </c>
      <c r="M144" s="3" t="s">
        <v>1171</v>
      </c>
      <c r="N144" s="3" t="s">
        <v>85</v>
      </c>
      <c r="O144" s="3" t="b">
        <f t="shared" si="10"/>
        <v>0</v>
      </c>
      <c r="P144" s="3" t="s">
        <v>1172</v>
      </c>
    </row>
    <row r="145" customHeight="1" spans="1:16">
      <c r="A145" s="3" t="s">
        <v>389</v>
      </c>
      <c r="B145" s="3" t="s">
        <v>390</v>
      </c>
      <c r="C145" s="3">
        <v>46566</v>
      </c>
      <c r="D145" s="3">
        <v>16409</v>
      </c>
      <c r="E145" s="3">
        <v>220000</v>
      </c>
      <c r="F145" s="3">
        <v>36</v>
      </c>
      <c r="G145" s="3">
        <v>14.38</v>
      </c>
      <c r="H145" s="3">
        <v>7559.74613217006</v>
      </c>
      <c r="I145" s="12">
        <v>51.4726326765667</v>
      </c>
      <c r="J145" s="3">
        <v>753</v>
      </c>
      <c r="K145" s="3" t="b">
        <f>FALSE()</f>
        <v>0</v>
      </c>
      <c r="L145" s="3" t="b">
        <f>TRUE()</f>
        <v>1</v>
      </c>
      <c r="M145" s="3" t="s">
        <v>1171</v>
      </c>
      <c r="N145" s="3" t="s">
        <v>85</v>
      </c>
      <c r="O145" s="3" t="b">
        <f t="shared" si="10"/>
        <v>0</v>
      </c>
      <c r="P145" s="3" t="s">
        <v>1172</v>
      </c>
    </row>
    <row r="146" customHeight="1" spans="1:16">
      <c r="A146" s="3" t="s">
        <v>391</v>
      </c>
      <c r="B146" s="3" t="s">
        <v>392</v>
      </c>
      <c r="C146" s="3">
        <v>54697</v>
      </c>
      <c r="D146" s="3">
        <v>0</v>
      </c>
      <c r="E146" s="3">
        <v>260000</v>
      </c>
      <c r="F146" s="3">
        <v>48</v>
      </c>
      <c r="G146" s="3">
        <v>11.96</v>
      </c>
      <c r="H146" s="3">
        <v>6841.69201726144</v>
      </c>
      <c r="I146" s="12">
        <v>12.5083496668217</v>
      </c>
      <c r="J146" s="3">
        <v>658</v>
      </c>
      <c r="K146" s="3" t="b">
        <f>TRUE()</f>
        <v>1</v>
      </c>
      <c r="L146" s="3" t="b">
        <f>FALSE()</f>
        <v>0</v>
      </c>
      <c r="M146" s="3" t="s">
        <v>1171</v>
      </c>
      <c r="N146" s="3" t="s">
        <v>85</v>
      </c>
      <c r="O146" s="3" t="b">
        <f t="shared" si="10"/>
        <v>0</v>
      </c>
      <c r="P146" s="3" t="s">
        <v>1172</v>
      </c>
    </row>
    <row r="147" customHeight="1" spans="1:16">
      <c r="A147" s="3" t="s">
        <v>393</v>
      </c>
      <c r="B147" s="3" t="s">
        <v>154</v>
      </c>
      <c r="C147" s="3">
        <v>66094</v>
      </c>
      <c r="D147" s="3">
        <v>22811</v>
      </c>
      <c r="E147" s="3">
        <v>1260000</v>
      </c>
      <c r="F147" s="3">
        <v>60</v>
      </c>
      <c r="G147" s="3">
        <v>14.83</v>
      </c>
      <c r="H147" s="3">
        <v>29862.9931522026</v>
      </c>
      <c r="I147" s="12">
        <v>79.6955747151067</v>
      </c>
      <c r="J147" s="3">
        <v>775</v>
      </c>
      <c r="K147" s="3" t="b">
        <f>FALSE()</f>
        <v>0</v>
      </c>
      <c r="L147" s="3" t="b">
        <f>TRUE()</f>
        <v>1</v>
      </c>
      <c r="M147" s="3" t="s">
        <v>1171</v>
      </c>
      <c r="N147" s="3" t="s">
        <v>85</v>
      </c>
      <c r="O147" s="3" t="b">
        <f t="shared" si="10"/>
        <v>0</v>
      </c>
      <c r="P147" s="3" t="s">
        <v>1172</v>
      </c>
    </row>
    <row r="148" customHeight="1" spans="1:16">
      <c r="A148" s="3" t="s">
        <v>394</v>
      </c>
      <c r="B148" s="3" t="s">
        <v>395</v>
      </c>
      <c r="C148" s="3">
        <v>25399</v>
      </c>
      <c r="D148" s="3">
        <v>7136</v>
      </c>
      <c r="E148" s="3">
        <v>1360000</v>
      </c>
      <c r="F148" s="3">
        <v>60</v>
      </c>
      <c r="G148" s="3">
        <v>15.02</v>
      </c>
      <c r="H148" s="3">
        <v>32368.5842854252</v>
      </c>
      <c r="I148" s="12">
        <v>155.53598285533</v>
      </c>
      <c r="J148" s="3">
        <v>788</v>
      </c>
      <c r="K148" s="3" t="b">
        <f>FALSE()</f>
        <v>0</v>
      </c>
      <c r="L148" s="3" t="b">
        <f>TRUE()</f>
        <v>1</v>
      </c>
      <c r="M148" s="3" t="s">
        <v>1171</v>
      </c>
      <c r="N148" s="3" t="s">
        <v>85</v>
      </c>
      <c r="O148" s="3" t="b">
        <f t="shared" si="10"/>
        <v>0</v>
      </c>
      <c r="P148" s="3" t="s">
        <v>1172</v>
      </c>
    </row>
    <row r="149" customHeight="1" spans="1:16">
      <c r="A149" s="3" t="s">
        <v>396</v>
      </c>
      <c r="B149" s="3" t="s">
        <v>397</v>
      </c>
      <c r="C149" s="3">
        <v>38925</v>
      </c>
      <c r="D149" s="3">
        <v>8249</v>
      </c>
      <c r="E149" s="3">
        <v>840000</v>
      </c>
      <c r="F149" s="3">
        <v>60</v>
      </c>
      <c r="G149" s="3">
        <v>9.9</v>
      </c>
      <c r="H149" s="3">
        <v>17806.2142317078</v>
      </c>
      <c r="I149" s="12">
        <v>66.936966555447</v>
      </c>
      <c r="J149" s="3">
        <v>678</v>
      </c>
      <c r="K149" s="3" t="b">
        <f>FALSE()</f>
        <v>0</v>
      </c>
      <c r="L149" s="3" t="b">
        <f>FALSE()</f>
        <v>0</v>
      </c>
      <c r="M149" s="3" t="s">
        <v>1171</v>
      </c>
      <c r="N149" s="3" t="s">
        <v>85</v>
      </c>
      <c r="O149" s="3" t="b">
        <f t="shared" si="10"/>
        <v>0</v>
      </c>
      <c r="P149" s="3" t="s">
        <v>1172</v>
      </c>
    </row>
    <row r="150" customHeight="1" spans="1:16">
      <c r="A150" s="3" t="s">
        <v>398</v>
      </c>
      <c r="B150" s="3" t="s">
        <v>399</v>
      </c>
      <c r="C150" s="3">
        <v>95276</v>
      </c>
      <c r="D150" s="3">
        <v>24230</v>
      </c>
      <c r="E150" s="3">
        <v>300000</v>
      </c>
      <c r="F150" s="3">
        <v>36</v>
      </c>
      <c r="G150" s="3">
        <v>13.96</v>
      </c>
      <c r="H150" s="3">
        <v>10247.4616037181</v>
      </c>
      <c r="I150" s="12">
        <v>36.1869322848546</v>
      </c>
      <c r="J150" s="3">
        <v>748</v>
      </c>
      <c r="K150" s="3" t="b">
        <f t="shared" ref="K150:K155" si="11">TRUE()</f>
        <v>1</v>
      </c>
      <c r="L150" s="3" t="b">
        <f>TRUE()</f>
        <v>1</v>
      </c>
      <c r="M150" s="3" t="s">
        <v>1174</v>
      </c>
      <c r="N150" s="3" t="s">
        <v>85</v>
      </c>
      <c r="O150" s="3" t="b">
        <f>TRUE()</f>
        <v>1</v>
      </c>
      <c r="P150" s="3" t="s">
        <v>1175</v>
      </c>
    </row>
    <row r="151" customHeight="1" spans="1:16">
      <c r="A151" s="3" t="s">
        <v>400</v>
      </c>
      <c r="B151" s="3" t="s">
        <v>186</v>
      </c>
      <c r="C151" s="3">
        <v>169491</v>
      </c>
      <c r="D151" s="3">
        <v>25744</v>
      </c>
      <c r="E151" s="3">
        <v>640000</v>
      </c>
      <c r="F151" s="3">
        <v>60</v>
      </c>
      <c r="G151" s="3">
        <v>9.65</v>
      </c>
      <c r="H151" s="3">
        <v>13488.1538803721</v>
      </c>
      <c r="I151" s="12">
        <v>23.1470425452514</v>
      </c>
      <c r="J151" s="3">
        <v>697</v>
      </c>
      <c r="K151" s="3" t="b">
        <f t="shared" si="11"/>
        <v>1</v>
      </c>
      <c r="L151" s="3" t="b">
        <f>FALSE()</f>
        <v>0</v>
      </c>
      <c r="M151" s="3" t="s">
        <v>1171</v>
      </c>
      <c r="N151" s="3" t="s">
        <v>85</v>
      </c>
      <c r="O151" s="3" t="b">
        <f>FALSE()</f>
        <v>0</v>
      </c>
      <c r="P151" s="3" t="s">
        <v>1172</v>
      </c>
    </row>
    <row r="152" customHeight="1" spans="1:16">
      <c r="A152" s="3" t="s">
        <v>401</v>
      </c>
      <c r="B152" s="3" t="s">
        <v>402</v>
      </c>
      <c r="C152" s="3">
        <v>134902</v>
      </c>
      <c r="D152" s="3">
        <v>0</v>
      </c>
      <c r="E152" s="3">
        <v>1360000</v>
      </c>
      <c r="F152" s="3">
        <v>60</v>
      </c>
      <c r="G152" s="3">
        <v>15.15</v>
      </c>
      <c r="H152" s="3">
        <v>32461.4856364683</v>
      </c>
      <c r="I152" s="12">
        <v>24.0630128808085</v>
      </c>
      <c r="J152" s="3">
        <v>753</v>
      </c>
      <c r="K152" s="3" t="b">
        <f t="shared" si="11"/>
        <v>1</v>
      </c>
      <c r="L152" s="3" t="b">
        <f>TRUE()</f>
        <v>1</v>
      </c>
      <c r="M152" s="3" t="s">
        <v>1174</v>
      </c>
      <c r="N152" s="3" t="s">
        <v>85</v>
      </c>
      <c r="O152" s="3" t="b">
        <f>TRUE()</f>
        <v>1</v>
      </c>
      <c r="P152" s="3" t="s">
        <v>1175</v>
      </c>
    </row>
    <row r="153" customHeight="1" spans="1:16">
      <c r="A153" s="3" t="s">
        <v>403</v>
      </c>
      <c r="B153" s="3" t="s">
        <v>404</v>
      </c>
      <c r="C153" s="3">
        <v>60543</v>
      </c>
      <c r="D153" s="3">
        <v>0</v>
      </c>
      <c r="E153" s="3">
        <v>1170000</v>
      </c>
      <c r="F153" s="3">
        <v>84</v>
      </c>
      <c r="G153" s="3">
        <v>10.49</v>
      </c>
      <c r="H153" s="3">
        <v>19720.8894129318</v>
      </c>
      <c r="I153" s="12">
        <v>32.5733601125345</v>
      </c>
      <c r="J153" s="3">
        <v>779</v>
      </c>
      <c r="K153" s="3" t="b">
        <f t="shared" si="11"/>
        <v>1</v>
      </c>
      <c r="L153" s="3" t="b">
        <f>TRUE()</f>
        <v>1</v>
      </c>
      <c r="M153" s="3" t="s">
        <v>1174</v>
      </c>
      <c r="N153" s="3" t="s">
        <v>85</v>
      </c>
      <c r="O153" s="3" t="b">
        <f>TRUE()</f>
        <v>1</v>
      </c>
      <c r="P153" s="3" t="s">
        <v>1175</v>
      </c>
    </row>
    <row r="154" customHeight="1" spans="1:16">
      <c r="A154" s="3" t="s">
        <v>405</v>
      </c>
      <c r="B154" s="3" t="s">
        <v>406</v>
      </c>
      <c r="C154" s="3">
        <v>65368</v>
      </c>
      <c r="D154" s="3">
        <v>3212</v>
      </c>
      <c r="E154" s="3">
        <v>620000</v>
      </c>
      <c r="F154" s="3">
        <v>48</v>
      </c>
      <c r="G154" s="3">
        <v>11.23</v>
      </c>
      <c r="H154" s="3">
        <v>16093.5629790743</v>
      </c>
      <c r="I154" s="12">
        <v>29.5336601686977</v>
      </c>
      <c r="J154" s="3">
        <v>776</v>
      </c>
      <c r="K154" s="3" t="b">
        <f t="shared" si="11"/>
        <v>1</v>
      </c>
      <c r="L154" s="3" t="b">
        <f>TRUE()</f>
        <v>1</v>
      </c>
      <c r="M154" s="3" t="s">
        <v>1174</v>
      </c>
      <c r="N154" s="3" t="s">
        <v>85</v>
      </c>
      <c r="O154" s="3" t="b">
        <f>TRUE()</f>
        <v>1</v>
      </c>
      <c r="P154" s="3" t="s">
        <v>1175</v>
      </c>
    </row>
    <row r="155" customHeight="1" spans="1:16">
      <c r="A155" s="3" t="s">
        <v>407</v>
      </c>
      <c r="B155" s="3" t="s">
        <v>408</v>
      </c>
      <c r="C155" s="3">
        <v>85168</v>
      </c>
      <c r="D155" s="3">
        <v>0</v>
      </c>
      <c r="E155" s="3">
        <v>140000</v>
      </c>
      <c r="F155" s="3">
        <v>36</v>
      </c>
      <c r="G155" s="3">
        <v>14.1</v>
      </c>
      <c r="H155" s="3">
        <v>4791.67065075908</v>
      </c>
      <c r="I155" s="12">
        <v>5.62613968950671</v>
      </c>
      <c r="J155" s="3">
        <v>713</v>
      </c>
      <c r="K155" s="3" t="b">
        <f t="shared" si="11"/>
        <v>1</v>
      </c>
      <c r="L155" s="3" t="b">
        <f>TRUE()</f>
        <v>1</v>
      </c>
      <c r="M155" s="3" t="s">
        <v>1174</v>
      </c>
      <c r="N155" s="3" t="s">
        <v>85</v>
      </c>
      <c r="O155" s="3" t="b">
        <f>TRUE()</f>
        <v>1</v>
      </c>
      <c r="P155" s="3" t="s">
        <v>1175</v>
      </c>
    </row>
    <row r="156" customHeight="1" spans="1:16">
      <c r="A156" s="3" t="s">
        <v>409</v>
      </c>
      <c r="B156" s="3" t="s">
        <v>410</v>
      </c>
      <c r="C156" s="3">
        <v>171875</v>
      </c>
      <c r="D156" s="3">
        <v>67800</v>
      </c>
      <c r="E156" s="3">
        <v>780000</v>
      </c>
      <c r="F156" s="3">
        <v>60</v>
      </c>
      <c r="G156" s="3">
        <v>14.68</v>
      </c>
      <c r="H156" s="3">
        <v>18425.3851010174</v>
      </c>
      <c r="I156" s="12">
        <v>50.1674967860465</v>
      </c>
      <c r="J156" s="3">
        <v>682</v>
      </c>
      <c r="K156" s="3" t="b">
        <f>FALSE()</f>
        <v>0</v>
      </c>
      <c r="L156" s="3" t="b">
        <f>FALSE()</f>
        <v>0</v>
      </c>
      <c r="M156" s="3" t="s">
        <v>1171</v>
      </c>
      <c r="N156" s="3" t="s">
        <v>85</v>
      </c>
      <c r="O156" s="3" t="b">
        <f>FALSE()</f>
        <v>0</v>
      </c>
      <c r="P156" s="3" t="s">
        <v>1172</v>
      </c>
    </row>
    <row r="157" customHeight="1" spans="1:16">
      <c r="A157" s="3" t="s">
        <v>411</v>
      </c>
      <c r="B157" s="3" t="s">
        <v>412</v>
      </c>
      <c r="C157" s="3">
        <v>56423</v>
      </c>
      <c r="D157" s="3">
        <v>0</v>
      </c>
      <c r="E157" s="3">
        <v>1410000</v>
      </c>
      <c r="F157" s="3">
        <v>84</v>
      </c>
      <c r="G157" s="3">
        <v>11.61</v>
      </c>
      <c r="H157" s="3">
        <v>24597.2360910638</v>
      </c>
      <c r="I157" s="12">
        <v>43.5943428939684</v>
      </c>
      <c r="J157" s="3">
        <v>728</v>
      </c>
      <c r="K157" s="3" t="b">
        <f>TRUE()</f>
        <v>1</v>
      </c>
      <c r="L157" s="3" t="b">
        <f>TRUE()</f>
        <v>1</v>
      </c>
      <c r="M157" s="3" t="s">
        <v>1174</v>
      </c>
      <c r="N157" s="3" t="s">
        <v>85</v>
      </c>
      <c r="O157" s="3" t="b">
        <f>TRUE()</f>
        <v>1</v>
      </c>
      <c r="P157" s="3" t="s">
        <v>1175</v>
      </c>
    </row>
    <row r="158" customHeight="1" spans="1:16">
      <c r="A158" s="3" t="s">
        <v>413</v>
      </c>
      <c r="B158" s="3" t="s">
        <v>414</v>
      </c>
      <c r="C158" s="3">
        <v>136372</v>
      </c>
      <c r="D158" s="3">
        <v>51243</v>
      </c>
      <c r="E158" s="3">
        <v>410000</v>
      </c>
      <c r="F158" s="3">
        <v>36</v>
      </c>
      <c r="G158" s="3">
        <v>14.02</v>
      </c>
      <c r="H158" s="3">
        <v>14016.811194513</v>
      </c>
      <c r="I158" s="12">
        <v>47.8542598147076</v>
      </c>
      <c r="J158" s="3">
        <v>694</v>
      </c>
      <c r="K158" s="3" t="b">
        <f>TRUE()</f>
        <v>1</v>
      </c>
      <c r="L158" s="3" t="b">
        <f>FALSE()</f>
        <v>0</v>
      </c>
      <c r="M158" s="3" t="s">
        <v>1171</v>
      </c>
      <c r="N158" s="3" t="s">
        <v>85</v>
      </c>
      <c r="O158" s="3" t="b">
        <f>FALSE()</f>
        <v>0</v>
      </c>
      <c r="P158" s="3" t="s">
        <v>1172</v>
      </c>
    </row>
    <row r="159" customHeight="1" spans="1:16">
      <c r="A159" s="3" t="s">
        <v>415</v>
      </c>
      <c r="B159" s="3" t="s">
        <v>416</v>
      </c>
      <c r="C159" s="3">
        <v>60905</v>
      </c>
      <c r="D159" s="3">
        <v>0</v>
      </c>
      <c r="E159" s="3">
        <v>600000</v>
      </c>
      <c r="F159" s="3">
        <v>60</v>
      </c>
      <c r="G159" s="3">
        <v>10.56</v>
      </c>
      <c r="H159" s="3">
        <v>12914.1811125348</v>
      </c>
      <c r="I159" s="12">
        <v>21.2038110377387</v>
      </c>
      <c r="J159" s="3">
        <v>817</v>
      </c>
      <c r="K159" s="3" t="b">
        <f>TRUE()</f>
        <v>1</v>
      </c>
      <c r="L159" s="3" t="b">
        <f>TRUE()</f>
        <v>1</v>
      </c>
      <c r="M159" s="3" t="s">
        <v>1174</v>
      </c>
      <c r="N159" s="3" t="s">
        <v>85</v>
      </c>
      <c r="O159" s="3" t="b">
        <f>TRUE()</f>
        <v>1</v>
      </c>
      <c r="P159" s="3" t="s">
        <v>1175</v>
      </c>
    </row>
    <row r="160" customHeight="1" spans="1:16">
      <c r="A160" s="3" t="s">
        <v>417</v>
      </c>
      <c r="B160" s="3" t="s">
        <v>418</v>
      </c>
      <c r="C160" s="3">
        <v>59422</v>
      </c>
      <c r="D160" s="3">
        <v>7356</v>
      </c>
      <c r="E160" s="3">
        <v>330000</v>
      </c>
      <c r="F160" s="3">
        <v>36</v>
      </c>
      <c r="G160" s="3">
        <v>13.56</v>
      </c>
      <c r="H160" s="3">
        <v>11208.2240434936</v>
      </c>
      <c r="I160" s="12">
        <v>31.2413315665808</v>
      </c>
      <c r="J160" s="3">
        <v>740</v>
      </c>
      <c r="K160" s="3" t="b">
        <f>TRUE()</f>
        <v>1</v>
      </c>
      <c r="L160" s="3" t="b">
        <f>TRUE()</f>
        <v>1</v>
      </c>
      <c r="M160" s="3" t="s">
        <v>1174</v>
      </c>
      <c r="N160" s="3" t="s">
        <v>85</v>
      </c>
      <c r="O160" s="3" t="b">
        <f>TRUE()</f>
        <v>1</v>
      </c>
      <c r="P160" s="3" t="s">
        <v>1175</v>
      </c>
    </row>
    <row r="161" customHeight="1" spans="1:16">
      <c r="A161" s="3" t="s">
        <v>419</v>
      </c>
      <c r="B161" s="3" t="s">
        <v>420</v>
      </c>
      <c r="C161" s="3">
        <v>43347</v>
      </c>
      <c r="D161" s="3">
        <v>10419</v>
      </c>
      <c r="E161" s="3">
        <v>5130000</v>
      </c>
      <c r="F161" s="3">
        <v>240</v>
      </c>
      <c r="G161" s="3">
        <v>9.67</v>
      </c>
      <c r="H161" s="3">
        <v>48389.2571131767</v>
      </c>
      <c r="I161" s="12">
        <v>135.66857478759</v>
      </c>
      <c r="J161" s="3">
        <v>769</v>
      </c>
      <c r="K161" s="3" t="b">
        <f>FALSE()</f>
        <v>0</v>
      </c>
      <c r="L161" s="3" t="b">
        <f>TRUE()</f>
        <v>1</v>
      </c>
      <c r="M161" s="3" t="s">
        <v>1171</v>
      </c>
      <c r="N161" s="3" t="s">
        <v>91</v>
      </c>
      <c r="O161" s="3" t="b">
        <f>TRUE()</f>
        <v>1</v>
      </c>
      <c r="P161" s="3" t="s">
        <v>1173</v>
      </c>
    </row>
    <row r="162" customHeight="1" spans="1:16">
      <c r="A162" s="3" t="s">
        <v>421</v>
      </c>
      <c r="B162" s="3" t="s">
        <v>422</v>
      </c>
      <c r="C162" s="3">
        <v>56780</v>
      </c>
      <c r="D162" s="3">
        <v>0</v>
      </c>
      <c r="E162" s="3">
        <v>560000</v>
      </c>
      <c r="F162" s="3">
        <v>60</v>
      </c>
      <c r="G162" s="3">
        <v>13.99</v>
      </c>
      <c r="H162" s="3">
        <v>13027.3174091355</v>
      </c>
      <c r="I162" s="12">
        <v>22.9434966698406</v>
      </c>
      <c r="J162" s="3">
        <v>784</v>
      </c>
      <c r="K162" s="3" t="b">
        <f t="shared" ref="K162:K167" si="12">TRUE()</f>
        <v>1</v>
      </c>
      <c r="L162" s="3" t="b">
        <f>TRUE()</f>
        <v>1</v>
      </c>
      <c r="M162" s="3" t="s">
        <v>1174</v>
      </c>
      <c r="N162" s="3" t="s">
        <v>85</v>
      </c>
      <c r="O162" s="3" t="b">
        <f>TRUE()</f>
        <v>1</v>
      </c>
      <c r="P162" s="3" t="s">
        <v>1175</v>
      </c>
    </row>
    <row r="163" customHeight="1" spans="1:16">
      <c r="A163" s="3" t="s">
        <v>423</v>
      </c>
      <c r="B163" s="3" t="s">
        <v>424</v>
      </c>
      <c r="C163" s="3">
        <v>72712</v>
      </c>
      <c r="D163" s="3">
        <v>0</v>
      </c>
      <c r="E163" s="3">
        <v>360000</v>
      </c>
      <c r="F163" s="3">
        <v>48</v>
      </c>
      <c r="G163" s="3">
        <v>11.73</v>
      </c>
      <c r="H163" s="3">
        <v>9432.52662535982</v>
      </c>
      <c r="I163" s="12">
        <v>12.9724483240178</v>
      </c>
      <c r="J163" s="3">
        <v>641</v>
      </c>
      <c r="K163" s="3" t="b">
        <f t="shared" si="12"/>
        <v>1</v>
      </c>
      <c r="L163" s="3" t="b">
        <f>FALSE()</f>
        <v>0</v>
      </c>
      <c r="M163" s="3" t="s">
        <v>1171</v>
      </c>
      <c r="N163" s="3" t="s">
        <v>85</v>
      </c>
      <c r="O163" s="3" t="b">
        <f>FALSE()</f>
        <v>0</v>
      </c>
      <c r="P163" s="3" t="s">
        <v>1172</v>
      </c>
    </row>
    <row r="164" customHeight="1" spans="1:16">
      <c r="A164" s="3" t="s">
        <v>425</v>
      </c>
      <c r="B164" s="3" t="s">
        <v>426</v>
      </c>
      <c r="C164" s="3">
        <v>42849</v>
      </c>
      <c r="D164" s="3">
        <v>0</v>
      </c>
      <c r="E164" s="3">
        <v>730000</v>
      </c>
      <c r="F164" s="3">
        <v>84</v>
      </c>
      <c r="G164" s="3">
        <v>11.67</v>
      </c>
      <c r="H164" s="3">
        <v>12758.0215156832</v>
      </c>
      <c r="I164" s="12">
        <v>29.7743740009877</v>
      </c>
      <c r="J164" s="3">
        <v>701</v>
      </c>
      <c r="K164" s="3" t="b">
        <f t="shared" si="12"/>
        <v>1</v>
      </c>
      <c r="L164" s="3" t="b">
        <f>TRUE()</f>
        <v>1</v>
      </c>
      <c r="M164" s="3" t="s">
        <v>1174</v>
      </c>
      <c r="N164" s="3" t="s">
        <v>85</v>
      </c>
      <c r="O164" s="3" t="b">
        <f>TRUE()</f>
        <v>1</v>
      </c>
      <c r="P164" s="3" t="s">
        <v>1175</v>
      </c>
    </row>
    <row r="165" customHeight="1" spans="1:16">
      <c r="A165" s="3" t="s">
        <v>427</v>
      </c>
      <c r="B165" s="3" t="s">
        <v>428</v>
      </c>
      <c r="C165" s="3">
        <v>102233</v>
      </c>
      <c r="D165" s="3">
        <v>0</v>
      </c>
      <c r="E165" s="3">
        <v>290000</v>
      </c>
      <c r="F165" s="3">
        <v>36</v>
      </c>
      <c r="G165" s="3">
        <v>14.26</v>
      </c>
      <c r="H165" s="3">
        <v>9948.1731126333</v>
      </c>
      <c r="I165" s="12">
        <v>9.73088250626833</v>
      </c>
      <c r="J165" s="3">
        <v>785</v>
      </c>
      <c r="K165" s="3" t="b">
        <f t="shared" si="12"/>
        <v>1</v>
      </c>
      <c r="L165" s="3" t="b">
        <f>TRUE()</f>
        <v>1</v>
      </c>
      <c r="M165" s="3" t="s">
        <v>1174</v>
      </c>
      <c r="N165" s="3" t="s">
        <v>85</v>
      </c>
      <c r="O165" s="3" t="b">
        <f>TRUE()</f>
        <v>1</v>
      </c>
      <c r="P165" s="3" t="s">
        <v>1175</v>
      </c>
    </row>
    <row r="166" customHeight="1" spans="1:16">
      <c r="A166" s="3" t="s">
        <v>429</v>
      </c>
      <c r="B166" s="3" t="s">
        <v>430</v>
      </c>
      <c r="C166" s="3">
        <v>123028</v>
      </c>
      <c r="D166" s="3">
        <v>0</v>
      </c>
      <c r="E166" s="3">
        <v>870000</v>
      </c>
      <c r="F166" s="3">
        <v>60</v>
      </c>
      <c r="G166" s="3">
        <v>9.89</v>
      </c>
      <c r="H166" s="3">
        <v>18437.8758119356</v>
      </c>
      <c r="I166" s="12">
        <v>14.9867313228985</v>
      </c>
      <c r="J166" s="3">
        <v>770</v>
      </c>
      <c r="K166" s="3" t="b">
        <f t="shared" si="12"/>
        <v>1</v>
      </c>
      <c r="L166" s="3" t="b">
        <f>TRUE()</f>
        <v>1</v>
      </c>
      <c r="M166" s="3" t="s">
        <v>1174</v>
      </c>
      <c r="N166" s="3" t="s">
        <v>85</v>
      </c>
      <c r="O166" s="3" t="b">
        <f>TRUE()</f>
        <v>1</v>
      </c>
      <c r="P166" s="3" t="s">
        <v>1175</v>
      </c>
    </row>
    <row r="167" customHeight="1" spans="1:16">
      <c r="A167" s="3" t="s">
        <v>431</v>
      </c>
      <c r="B167" s="3" t="s">
        <v>432</v>
      </c>
      <c r="C167" s="3">
        <v>103112</v>
      </c>
      <c r="D167" s="3">
        <v>0</v>
      </c>
      <c r="E167" s="3">
        <v>880000</v>
      </c>
      <c r="F167" s="3">
        <v>60</v>
      </c>
      <c r="G167" s="3">
        <v>14</v>
      </c>
      <c r="H167" s="3">
        <v>20476.0607474611</v>
      </c>
      <c r="I167" s="12">
        <v>19.8580773794138</v>
      </c>
      <c r="J167" s="3">
        <v>690</v>
      </c>
      <c r="K167" s="3" t="b">
        <f t="shared" si="12"/>
        <v>1</v>
      </c>
      <c r="L167" s="3" t="b">
        <f>FALSE()</f>
        <v>0</v>
      </c>
      <c r="M167" s="3" t="s">
        <v>1171</v>
      </c>
      <c r="N167" s="3" t="s">
        <v>85</v>
      </c>
      <c r="O167" s="3" t="b">
        <f>FALSE()</f>
        <v>0</v>
      </c>
      <c r="P167" s="3" t="s">
        <v>1172</v>
      </c>
    </row>
    <row r="168" customHeight="1" spans="1:16">
      <c r="A168" s="3" t="s">
        <v>433</v>
      </c>
      <c r="B168" s="3" t="s">
        <v>434</v>
      </c>
      <c r="C168" s="3">
        <v>60894</v>
      </c>
      <c r="D168" s="3">
        <v>18367</v>
      </c>
      <c r="E168" s="3">
        <v>1090000</v>
      </c>
      <c r="F168" s="3">
        <v>60</v>
      </c>
      <c r="G168" s="3">
        <v>14.38</v>
      </c>
      <c r="H168" s="3">
        <v>25577.641275346</v>
      </c>
      <c r="I168" s="12">
        <v>72.1657983961409</v>
      </c>
      <c r="J168" s="3">
        <v>735</v>
      </c>
      <c r="K168" s="3" t="b">
        <f>FALSE()</f>
        <v>0</v>
      </c>
      <c r="L168" s="3" t="b">
        <f>TRUE()</f>
        <v>1</v>
      </c>
      <c r="M168" s="3" t="s">
        <v>1171</v>
      </c>
      <c r="N168" s="3" t="s">
        <v>85</v>
      </c>
      <c r="O168" s="3" t="b">
        <f>FALSE()</f>
        <v>0</v>
      </c>
      <c r="P168" s="3" t="s">
        <v>1172</v>
      </c>
    </row>
    <row r="169" customHeight="1" spans="1:16">
      <c r="A169" s="3" t="s">
        <v>435</v>
      </c>
      <c r="B169" s="3" t="s">
        <v>436</v>
      </c>
      <c r="C169" s="3">
        <v>42913</v>
      </c>
      <c r="D169" s="3">
        <v>7887</v>
      </c>
      <c r="E169" s="3">
        <v>790000</v>
      </c>
      <c r="F169" s="3">
        <v>48</v>
      </c>
      <c r="G169" s="3">
        <v>10.84</v>
      </c>
      <c r="H169" s="3">
        <v>20356.6335581914</v>
      </c>
      <c r="I169" s="12">
        <v>65.816031408178</v>
      </c>
      <c r="J169" s="3">
        <v>754</v>
      </c>
      <c r="K169" s="3" t="b">
        <f>FALSE()</f>
        <v>0</v>
      </c>
      <c r="L169" s="3" t="b">
        <f>TRUE()</f>
        <v>1</v>
      </c>
      <c r="M169" s="3" t="s">
        <v>1171</v>
      </c>
      <c r="N169" s="3" t="s">
        <v>85</v>
      </c>
      <c r="O169" s="3" t="b">
        <f>FALSE()</f>
        <v>0</v>
      </c>
      <c r="P169" s="3" t="s">
        <v>1172</v>
      </c>
    </row>
    <row r="170" customHeight="1" spans="1:16">
      <c r="A170" s="3" t="s">
        <v>437</v>
      </c>
      <c r="B170" s="3" t="s">
        <v>438</v>
      </c>
      <c r="C170" s="3">
        <v>72757</v>
      </c>
      <c r="D170" s="3">
        <v>26891</v>
      </c>
      <c r="E170" s="3">
        <v>420000</v>
      </c>
      <c r="F170" s="3">
        <v>60</v>
      </c>
      <c r="G170" s="3">
        <v>14.36</v>
      </c>
      <c r="H170" s="3">
        <v>9851.22984539094</v>
      </c>
      <c r="I170" s="12">
        <v>50.4999241933985</v>
      </c>
      <c r="J170" s="3">
        <v>696</v>
      </c>
      <c r="K170" s="3" t="b">
        <f>FALSE()</f>
        <v>0</v>
      </c>
      <c r="L170" s="3" t="b">
        <f>FALSE()</f>
        <v>0</v>
      </c>
      <c r="M170" s="3" t="s">
        <v>1171</v>
      </c>
      <c r="N170" s="3" t="s">
        <v>85</v>
      </c>
      <c r="O170" s="3" t="b">
        <f>FALSE()</f>
        <v>0</v>
      </c>
      <c r="P170" s="3" t="s">
        <v>1172</v>
      </c>
    </row>
    <row r="171" customHeight="1" spans="1:16">
      <c r="A171" s="3" t="s">
        <v>439</v>
      </c>
      <c r="B171" s="3" t="s">
        <v>440</v>
      </c>
      <c r="C171" s="3">
        <v>28368</v>
      </c>
      <c r="D171" s="3">
        <v>0</v>
      </c>
      <c r="E171" s="3">
        <v>410000</v>
      </c>
      <c r="F171" s="3">
        <v>48</v>
      </c>
      <c r="G171" s="3">
        <v>12.18</v>
      </c>
      <c r="H171" s="3">
        <v>10833.1431795093</v>
      </c>
      <c r="I171" s="12">
        <v>38.1878989689416</v>
      </c>
      <c r="J171" s="3">
        <v>680</v>
      </c>
      <c r="K171" s="3" t="b">
        <f t="shared" ref="K171:K176" si="13">TRUE()</f>
        <v>1</v>
      </c>
      <c r="L171" s="3" t="b">
        <f>FALSE()</f>
        <v>0</v>
      </c>
      <c r="M171" s="3" t="s">
        <v>1171</v>
      </c>
      <c r="N171" s="3" t="s">
        <v>85</v>
      </c>
      <c r="O171" s="3" t="b">
        <f>FALSE()</f>
        <v>0</v>
      </c>
      <c r="P171" s="3" t="s">
        <v>1172</v>
      </c>
    </row>
    <row r="172" customHeight="1" spans="1:16">
      <c r="A172" s="3" t="s">
        <v>441</v>
      </c>
      <c r="B172" s="3" t="s">
        <v>442</v>
      </c>
      <c r="C172" s="3">
        <v>186429</v>
      </c>
      <c r="D172" s="3">
        <v>21334</v>
      </c>
      <c r="E172" s="3">
        <v>240000</v>
      </c>
      <c r="F172" s="3">
        <v>36</v>
      </c>
      <c r="G172" s="3">
        <v>13.16</v>
      </c>
      <c r="H172" s="3">
        <v>8105.05671003852</v>
      </c>
      <c r="I172" s="12">
        <v>15.7910286007212</v>
      </c>
      <c r="J172" s="3">
        <v>709</v>
      </c>
      <c r="K172" s="3" t="b">
        <f t="shared" si="13"/>
        <v>1</v>
      </c>
      <c r="L172" s="3" t="b">
        <f t="shared" ref="L172:L177" si="14">TRUE()</f>
        <v>1</v>
      </c>
      <c r="M172" s="3" t="s">
        <v>1174</v>
      </c>
      <c r="N172" s="3" t="s">
        <v>85</v>
      </c>
      <c r="O172" s="3" t="b">
        <f>TRUE()</f>
        <v>1</v>
      </c>
      <c r="P172" s="3" t="s">
        <v>1175</v>
      </c>
    </row>
    <row r="173" customHeight="1" spans="1:16">
      <c r="A173" s="3" t="s">
        <v>443</v>
      </c>
      <c r="B173" s="3" t="s">
        <v>444</v>
      </c>
      <c r="C173" s="3">
        <v>32288</v>
      </c>
      <c r="D173" s="3">
        <v>0</v>
      </c>
      <c r="E173" s="3">
        <v>210000</v>
      </c>
      <c r="F173" s="3">
        <v>36</v>
      </c>
      <c r="G173" s="3">
        <v>14.01</v>
      </c>
      <c r="H173" s="3">
        <v>7178.32224194363</v>
      </c>
      <c r="I173" s="12">
        <v>22.2321674985866</v>
      </c>
      <c r="J173" s="3">
        <v>749</v>
      </c>
      <c r="K173" s="3" t="b">
        <f t="shared" si="13"/>
        <v>1</v>
      </c>
      <c r="L173" s="3" t="b">
        <f t="shared" si="14"/>
        <v>1</v>
      </c>
      <c r="M173" s="3" t="s">
        <v>1174</v>
      </c>
      <c r="N173" s="3" t="s">
        <v>85</v>
      </c>
      <c r="O173" s="3" t="b">
        <f>TRUE()</f>
        <v>1</v>
      </c>
      <c r="P173" s="3" t="s">
        <v>1175</v>
      </c>
    </row>
    <row r="174" customHeight="1" spans="1:16">
      <c r="A174" s="3" t="s">
        <v>445</v>
      </c>
      <c r="B174" s="3" t="s">
        <v>446</v>
      </c>
      <c r="C174" s="3">
        <v>62689</v>
      </c>
      <c r="D174" s="3">
        <v>17727</v>
      </c>
      <c r="E174" s="3">
        <v>320000</v>
      </c>
      <c r="F174" s="3">
        <v>36</v>
      </c>
      <c r="G174" s="3">
        <v>14.35</v>
      </c>
      <c r="H174" s="3">
        <v>10991.3176628741</v>
      </c>
      <c r="I174" s="12">
        <v>45.8107764725456</v>
      </c>
      <c r="J174" s="3">
        <v>759</v>
      </c>
      <c r="K174" s="3" t="b">
        <f t="shared" si="13"/>
        <v>1</v>
      </c>
      <c r="L174" s="3" t="b">
        <f t="shared" si="14"/>
        <v>1</v>
      </c>
      <c r="M174" s="3" t="s">
        <v>1174</v>
      </c>
      <c r="N174" s="3" t="s">
        <v>85</v>
      </c>
      <c r="O174" s="3" t="b">
        <f>TRUE()</f>
        <v>1</v>
      </c>
      <c r="P174" s="3" t="s">
        <v>1175</v>
      </c>
    </row>
    <row r="175" customHeight="1" spans="1:16">
      <c r="A175" s="3" t="s">
        <v>447</v>
      </c>
      <c r="B175" s="3" t="s">
        <v>448</v>
      </c>
      <c r="C175" s="3">
        <v>64936</v>
      </c>
      <c r="D175" s="3">
        <v>0</v>
      </c>
      <c r="E175" s="3">
        <v>310000</v>
      </c>
      <c r="F175" s="3">
        <v>84</v>
      </c>
      <c r="G175" s="3">
        <v>11.67</v>
      </c>
      <c r="H175" s="3">
        <v>5417.78995871479</v>
      </c>
      <c r="I175" s="12">
        <v>8.34327639324071</v>
      </c>
      <c r="J175" s="3">
        <v>725</v>
      </c>
      <c r="K175" s="3" t="b">
        <f t="shared" si="13"/>
        <v>1</v>
      </c>
      <c r="L175" s="3" t="b">
        <f t="shared" si="14"/>
        <v>1</v>
      </c>
      <c r="M175" s="3" t="s">
        <v>1174</v>
      </c>
      <c r="N175" s="3" t="s">
        <v>85</v>
      </c>
      <c r="O175" s="3" t="b">
        <f>TRUE()</f>
        <v>1</v>
      </c>
      <c r="P175" s="3" t="s">
        <v>1175</v>
      </c>
    </row>
    <row r="176" customHeight="1" spans="1:16">
      <c r="A176" s="3" t="s">
        <v>449</v>
      </c>
      <c r="B176" s="3" t="s">
        <v>450</v>
      </c>
      <c r="C176" s="3">
        <v>100154</v>
      </c>
      <c r="D176" s="3">
        <v>0</v>
      </c>
      <c r="E176" s="3">
        <v>720000</v>
      </c>
      <c r="F176" s="3">
        <v>48</v>
      </c>
      <c r="G176" s="3">
        <v>10.72</v>
      </c>
      <c r="H176" s="3">
        <v>18511.0249662959</v>
      </c>
      <c r="I176" s="12">
        <v>18.4825618210914</v>
      </c>
      <c r="J176" s="3">
        <v>718</v>
      </c>
      <c r="K176" s="3" t="b">
        <f t="shared" si="13"/>
        <v>1</v>
      </c>
      <c r="L176" s="3" t="b">
        <f t="shared" si="14"/>
        <v>1</v>
      </c>
      <c r="M176" s="3" t="s">
        <v>1174</v>
      </c>
      <c r="N176" s="3" t="s">
        <v>85</v>
      </c>
      <c r="O176" s="3" t="b">
        <f>TRUE()</f>
        <v>1</v>
      </c>
      <c r="P176" s="3" t="s">
        <v>1175</v>
      </c>
    </row>
    <row r="177" customHeight="1" spans="1:16">
      <c r="A177" s="3" t="s">
        <v>451</v>
      </c>
      <c r="B177" s="3" t="s">
        <v>452</v>
      </c>
      <c r="C177" s="3">
        <v>86188</v>
      </c>
      <c r="D177" s="3">
        <v>34055</v>
      </c>
      <c r="E177" s="3">
        <v>800000</v>
      </c>
      <c r="F177" s="3">
        <v>48</v>
      </c>
      <c r="G177" s="3">
        <v>11.02</v>
      </c>
      <c r="H177" s="3">
        <v>20684.1890322316</v>
      </c>
      <c r="I177" s="12">
        <v>63.5113809720977</v>
      </c>
      <c r="J177" s="3">
        <v>771</v>
      </c>
      <c r="K177" s="3" t="b">
        <f>FALSE()</f>
        <v>0</v>
      </c>
      <c r="L177" s="3" t="b">
        <f t="shared" si="14"/>
        <v>1</v>
      </c>
      <c r="M177" s="3" t="s">
        <v>1171</v>
      </c>
      <c r="N177" s="3" t="s">
        <v>85</v>
      </c>
      <c r="O177" s="3" t="b">
        <f>FALSE()</f>
        <v>0</v>
      </c>
      <c r="P177" s="3" t="s">
        <v>1172</v>
      </c>
    </row>
    <row r="178" customHeight="1" spans="1:16">
      <c r="A178" s="3" t="s">
        <v>453</v>
      </c>
      <c r="B178" s="3" t="s">
        <v>454</v>
      </c>
      <c r="C178" s="3">
        <v>79827</v>
      </c>
      <c r="D178" s="3">
        <v>21778</v>
      </c>
      <c r="E178" s="3">
        <v>460000</v>
      </c>
      <c r="F178" s="3">
        <v>36</v>
      </c>
      <c r="G178" s="3">
        <v>13.48</v>
      </c>
      <c r="H178" s="3">
        <v>15605.7827019436</v>
      </c>
      <c r="I178" s="12">
        <v>46.8310004158288</v>
      </c>
      <c r="J178" s="3">
        <v>698</v>
      </c>
      <c r="K178" s="3" t="b">
        <f>TRUE()</f>
        <v>1</v>
      </c>
      <c r="L178" s="3" t="b">
        <f>FALSE()</f>
        <v>0</v>
      </c>
      <c r="M178" s="3" t="s">
        <v>1171</v>
      </c>
      <c r="N178" s="3" t="s">
        <v>85</v>
      </c>
      <c r="O178" s="3" t="b">
        <f>FALSE()</f>
        <v>0</v>
      </c>
      <c r="P178" s="3" t="s">
        <v>1172</v>
      </c>
    </row>
    <row r="179" customHeight="1" spans="1:16">
      <c r="A179" s="3" t="s">
        <v>455</v>
      </c>
      <c r="B179" s="3" t="s">
        <v>456</v>
      </c>
      <c r="C179" s="3">
        <v>44550</v>
      </c>
      <c r="D179" s="3">
        <v>0</v>
      </c>
      <c r="E179" s="3">
        <v>400000</v>
      </c>
      <c r="F179" s="3">
        <v>60</v>
      </c>
      <c r="G179" s="3">
        <v>14.52</v>
      </c>
      <c r="H179" s="3">
        <v>9415.48640210538</v>
      </c>
      <c r="I179" s="12">
        <v>21.1346496119088</v>
      </c>
      <c r="J179" s="3">
        <v>782</v>
      </c>
      <c r="K179" s="3" t="b">
        <f>TRUE()</f>
        <v>1</v>
      </c>
      <c r="L179" s="3" t="b">
        <f>TRUE()</f>
        <v>1</v>
      </c>
      <c r="M179" s="3" t="s">
        <v>1174</v>
      </c>
      <c r="N179" s="3" t="s">
        <v>85</v>
      </c>
      <c r="O179" s="3" t="b">
        <f>TRUE()</f>
        <v>1</v>
      </c>
      <c r="P179" s="3" t="s">
        <v>1175</v>
      </c>
    </row>
    <row r="180" customHeight="1" spans="1:16">
      <c r="A180" s="3" t="s">
        <v>457</v>
      </c>
      <c r="B180" s="3" t="s">
        <v>384</v>
      </c>
      <c r="C180" s="3">
        <v>55089</v>
      </c>
      <c r="D180" s="3">
        <v>0</v>
      </c>
      <c r="E180" s="3">
        <v>440000</v>
      </c>
      <c r="F180" s="3">
        <v>84</v>
      </c>
      <c r="G180" s="3">
        <v>10.79</v>
      </c>
      <c r="H180" s="3">
        <v>7485.37666333346</v>
      </c>
      <c r="I180" s="12">
        <v>13.5877882396367</v>
      </c>
      <c r="J180" s="3">
        <v>702</v>
      </c>
      <c r="K180" s="3" t="b">
        <f>TRUE()</f>
        <v>1</v>
      </c>
      <c r="L180" s="3" t="b">
        <f>TRUE()</f>
        <v>1</v>
      </c>
      <c r="M180" s="3" t="s">
        <v>1174</v>
      </c>
      <c r="N180" s="3" t="s">
        <v>85</v>
      </c>
      <c r="O180" s="3" t="b">
        <f>TRUE()</f>
        <v>1</v>
      </c>
      <c r="P180" s="3" t="s">
        <v>1175</v>
      </c>
    </row>
    <row r="181" customHeight="1" spans="1:16">
      <c r="A181" s="3" t="s">
        <v>458</v>
      </c>
      <c r="B181" s="3" t="s">
        <v>234</v>
      </c>
      <c r="C181" s="3">
        <v>50109</v>
      </c>
      <c r="D181" s="3">
        <v>15440</v>
      </c>
      <c r="E181" s="3">
        <v>1120000</v>
      </c>
      <c r="F181" s="3">
        <v>84</v>
      </c>
      <c r="G181" s="3">
        <v>10.97</v>
      </c>
      <c r="H181" s="3">
        <v>19159.4667514769</v>
      </c>
      <c r="I181" s="12">
        <v>69.0484079735714</v>
      </c>
      <c r="J181" s="3">
        <v>659</v>
      </c>
      <c r="K181" s="3" t="b">
        <f>FALSE()</f>
        <v>0</v>
      </c>
      <c r="L181" s="3" t="b">
        <f>FALSE()</f>
        <v>0</v>
      </c>
      <c r="M181" s="3" t="s">
        <v>1171</v>
      </c>
      <c r="N181" s="3" t="s">
        <v>85</v>
      </c>
      <c r="O181" s="3" t="b">
        <f>FALSE()</f>
        <v>0</v>
      </c>
      <c r="P181" s="3" t="s">
        <v>1172</v>
      </c>
    </row>
    <row r="182" customHeight="1" spans="1:16">
      <c r="A182" s="3" t="s">
        <v>459</v>
      </c>
      <c r="B182" s="3" t="s">
        <v>460</v>
      </c>
      <c r="C182" s="3">
        <v>50706</v>
      </c>
      <c r="D182" s="3">
        <v>0</v>
      </c>
      <c r="E182" s="3">
        <v>1310000</v>
      </c>
      <c r="F182" s="3">
        <v>60</v>
      </c>
      <c r="G182" s="3">
        <v>14.47</v>
      </c>
      <c r="H182" s="3">
        <v>30801.5499514779</v>
      </c>
      <c r="I182" s="12">
        <v>60.7453752050603</v>
      </c>
      <c r="J182" s="3">
        <v>782</v>
      </c>
      <c r="K182" s="3" t="b">
        <f>FALSE()</f>
        <v>0</v>
      </c>
      <c r="L182" s="3" t="b">
        <f t="shared" ref="L182:L187" si="15">TRUE()</f>
        <v>1</v>
      </c>
      <c r="M182" s="3" t="s">
        <v>1171</v>
      </c>
      <c r="N182" s="3" t="s">
        <v>85</v>
      </c>
      <c r="O182" s="3" t="b">
        <f>FALSE()</f>
        <v>0</v>
      </c>
      <c r="P182" s="3" t="s">
        <v>1172</v>
      </c>
    </row>
    <row r="183" customHeight="1" spans="1:16">
      <c r="A183" s="3" t="s">
        <v>461</v>
      </c>
      <c r="B183" s="3" t="s">
        <v>462</v>
      </c>
      <c r="C183" s="3">
        <v>34524</v>
      </c>
      <c r="D183" s="3">
        <v>7450</v>
      </c>
      <c r="E183" s="3">
        <v>1040000</v>
      </c>
      <c r="F183" s="3">
        <v>60</v>
      </c>
      <c r="G183" s="3">
        <v>9.63</v>
      </c>
      <c r="H183" s="3">
        <v>21908.0657504773</v>
      </c>
      <c r="I183" s="12">
        <v>85.0366867989726</v>
      </c>
      <c r="J183" s="3">
        <v>751</v>
      </c>
      <c r="K183" s="3" t="b">
        <f>FALSE()</f>
        <v>0</v>
      </c>
      <c r="L183" s="3" t="b">
        <f t="shared" si="15"/>
        <v>1</v>
      </c>
      <c r="M183" s="3" t="s">
        <v>1171</v>
      </c>
      <c r="N183" s="3" t="s">
        <v>85</v>
      </c>
      <c r="O183" s="3" t="b">
        <f>FALSE()</f>
        <v>0</v>
      </c>
      <c r="P183" s="3" t="s">
        <v>1172</v>
      </c>
    </row>
    <row r="184" customHeight="1" spans="1:16">
      <c r="A184" s="3" t="s">
        <v>463</v>
      </c>
      <c r="B184" s="3" t="s">
        <v>464</v>
      </c>
      <c r="C184" s="3">
        <v>43947</v>
      </c>
      <c r="D184" s="3">
        <v>10137</v>
      </c>
      <c r="E184" s="3">
        <v>400000</v>
      </c>
      <c r="F184" s="3">
        <v>60</v>
      </c>
      <c r="G184" s="3">
        <v>9.81</v>
      </c>
      <c r="H184" s="3">
        <v>8461.47109917664</v>
      </c>
      <c r="I184" s="12">
        <v>42.320229137772</v>
      </c>
      <c r="J184" s="3">
        <v>757</v>
      </c>
      <c r="K184" s="3" t="b">
        <f t="shared" ref="K184:K190" si="16">TRUE()</f>
        <v>1</v>
      </c>
      <c r="L184" s="3" t="b">
        <f t="shared" si="15"/>
        <v>1</v>
      </c>
      <c r="M184" s="3" t="s">
        <v>1174</v>
      </c>
      <c r="N184" s="3" t="s">
        <v>85</v>
      </c>
      <c r="O184" s="3" t="b">
        <f>TRUE()</f>
        <v>1</v>
      </c>
      <c r="P184" s="3" t="s">
        <v>1175</v>
      </c>
    </row>
    <row r="185" customHeight="1" spans="1:16">
      <c r="A185" s="3" t="s">
        <v>465</v>
      </c>
      <c r="B185" s="3" t="s">
        <v>466</v>
      </c>
      <c r="C185" s="3">
        <v>136821</v>
      </c>
      <c r="D185" s="3">
        <v>0</v>
      </c>
      <c r="E185" s="3">
        <v>460000</v>
      </c>
      <c r="F185" s="3">
        <v>60</v>
      </c>
      <c r="G185" s="3">
        <v>10.4</v>
      </c>
      <c r="H185" s="3">
        <v>9864.42202765278</v>
      </c>
      <c r="I185" s="12">
        <v>7.20972805903537</v>
      </c>
      <c r="J185" s="3">
        <v>773</v>
      </c>
      <c r="K185" s="3" t="b">
        <f t="shared" si="16"/>
        <v>1</v>
      </c>
      <c r="L185" s="3" t="b">
        <f t="shared" si="15"/>
        <v>1</v>
      </c>
      <c r="M185" s="3" t="s">
        <v>1174</v>
      </c>
      <c r="N185" s="3" t="s">
        <v>85</v>
      </c>
      <c r="O185" s="3" t="b">
        <f>TRUE()</f>
        <v>1</v>
      </c>
      <c r="P185" s="3" t="s">
        <v>1175</v>
      </c>
    </row>
    <row r="186" customHeight="1" spans="1:16">
      <c r="A186" s="3" t="s">
        <v>467</v>
      </c>
      <c r="B186" s="3" t="s">
        <v>468</v>
      </c>
      <c r="C186" s="3">
        <v>94093</v>
      </c>
      <c r="D186" s="3">
        <v>5592</v>
      </c>
      <c r="E186" s="3">
        <v>1680000</v>
      </c>
      <c r="F186" s="3">
        <v>60</v>
      </c>
      <c r="G186" s="3">
        <v>14.96</v>
      </c>
      <c r="H186" s="3">
        <v>39931.8171064644</v>
      </c>
      <c r="I186" s="12">
        <v>48.3817256400204</v>
      </c>
      <c r="J186" s="3">
        <v>832</v>
      </c>
      <c r="K186" s="3" t="b">
        <f t="shared" si="16"/>
        <v>1</v>
      </c>
      <c r="L186" s="3" t="b">
        <f t="shared" si="15"/>
        <v>1</v>
      </c>
      <c r="M186" s="3" t="s">
        <v>1174</v>
      </c>
      <c r="N186" s="3" t="s">
        <v>85</v>
      </c>
      <c r="O186" s="3" t="b">
        <f>TRUE()</f>
        <v>1</v>
      </c>
      <c r="P186" s="3" t="s">
        <v>1175</v>
      </c>
    </row>
    <row r="187" customHeight="1" spans="1:16">
      <c r="A187" s="3" t="s">
        <v>469</v>
      </c>
      <c r="B187" s="3" t="s">
        <v>470</v>
      </c>
      <c r="C187" s="3">
        <v>62266</v>
      </c>
      <c r="D187" s="3">
        <v>0</v>
      </c>
      <c r="E187" s="3">
        <v>220000</v>
      </c>
      <c r="F187" s="3">
        <v>36</v>
      </c>
      <c r="G187" s="3">
        <v>13.16</v>
      </c>
      <c r="H187" s="3">
        <v>7429.63531753531</v>
      </c>
      <c r="I187" s="12">
        <v>11.9320902539674</v>
      </c>
      <c r="J187" s="3">
        <v>723</v>
      </c>
      <c r="K187" s="3" t="b">
        <f t="shared" si="16"/>
        <v>1</v>
      </c>
      <c r="L187" s="3" t="b">
        <f t="shared" si="15"/>
        <v>1</v>
      </c>
      <c r="M187" s="3" t="s">
        <v>1174</v>
      </c>
      <c r="N187" s="3" t="s">
        <v>85</v>
      </c>
      <c r="O187" s="3" t="b">
        <f>TRUE()</f>
        <v>1</v>
      </c>
      <c r="P187" s="3" t="s">
        <v>1175</v>
      </c>
    </row>
    <row r="188" customHeight="1" spans="1:16">
      <c r="A188" s="3" t="s">
        <v>471</v>
      </c>
      <c r="B188" s="3" t="s">
        <v>472</v>
      </c>
      <c r="C188" s="3">
        <v>59221</v>
      </c>
      <c r="D188" s="3">
        <v>6598</v>
      </c>
      <c r="E188" s="3">
        <v>540000</v>
      </c>
      <c r="F188" s="3">
        <v>84</v>
      </c>
      <c r="G188" s="3">
        <v>11.02</v>
      </c>
      <c r="H188" s="3">
        <v>9251.79520627098</v>
      </c>
      <c r="I188" s="12">
        <v>26.7638087946353</v>
      </c>
      <c r="J188" s="3">
        <v>669</v>
      </c>
      <c r="K188" s="3" t="b">
        <f t="shared" si="16"/>
        <v>1</v>
      </c>
      <c r="L188" s="3" t="b">
        <f>FALSE()</f>
        <v>0</v>
      </c>
      <c r="M188" s="3" t="s">
        <v>1171</v>
      </c>
      <c r="N188" s="3" t="s">
        <v>85</v>
      </c>
      <c r="O188" s="3" t="b">
        <f>FALSE()</f>
        <v>0</v>
      </c>
      <c r="P188" s="3" t="s">
        <v>1172</v>
      </c>
    </row>
    <row r="189" customHeight="1" spans="1:16">
      <c r="A189" s="3" t="s">
        <v>473</v>
      </c>
      <c r="B189" s="3" t="s">
        <v>474</v>
      </c>
      <c r="C189" s="3">
        <v>55251</v>
      </c>
      <c r="D189" s="3">
        <v>1387</v>
      </c>
      <c r="E189" s="3">
        <v>110000</v>
      </c>
      <c r="F189" s="3">
        <v>36</v>
      </c>
      <c r="G189" s="3">
        <v>13.2</v>
      </c>
      <c r="H189" s="3">
        <v>3716.94016828598</v>
      </c>
      <c r="I189" s="12">
        <v>9.23773355828126</v>
      </c>
      <c r="J189" s="3">
        <v>773</v>
      </c>
      <c r="K189" s="3" t="b">
        <f t="shared" si="16"/>
        <v>1</v>
      </c>
      <c r="L189" s="3" t="b">
        <f>TRUE()</f>
        <v>1</v>
      </c>
      <c r="M189" s="3" t="s">
        <v>1174</v>
      </c>
      <c r="N189" s="3" t="s">
        <v>85</v>
      </c>
      <c r="O189" s="3" t="b">
        <f>TRUE()</f>
        <v>1</v>
      </c>
      <c r="P189" s="3" t="s">
        <v>1175</v>
      </c>
    </row>
    <row r="190" customHeight="1" spans="1:16">
      <c r="A190" s="3" t="s">
        <v>475</v>
      </c>
      <c r="B190" s="3" t="s">
        <v>476</v>
      </c>
      <c r="C190" s="3">
        <v>87840</v>
      </c>
      <c r="D190" s="3">
        <v>0</v>
      </c>
      <c r="E190" s="3">
        <v>980000</v>
      </c>
      <c r="F190" s="3">
        <v>60</v>
      </c>
      <c r="G190" s="3">
        <v>9.27</v>
      </c>
      <c r="H190" s="3">
        <v>20471.84709216</v>
      </c>
      <c r="I190" s="12">
        <v>23.3058368535519</v>
      </c>
      <c r="J190" s="3">
        <v>771</v>
      </c>
      <c r="K190" s="3" t="b">
        <f t="shared" si="16"/>
        <v>1</v>
      </c>
      <c r="L190" s="3" t="b">
        <f>TRUE()</f>
        <v>1</v>
      </c>
      <c r="M190" s="3" t="s">
        <v>1174</v>
      </c>
      <c r="N190" s="3" t="s">
        <v>85</v>
      </c>
      <c r="O190" s="3" t="b">
        <f>TRUE()</f>
        <v>1</v>
      </c>
      <c r="P190" s="3" t="s">
        <v>1175</v>
      </c>
    </row>
    <row r="191" customHeight="1" spans="1:16">
      <c r="A191" s="3" t="s">
        <v>477</v>
      </c>
      <c r="B191" s="3" t="s">
        <v>478</v>
      </c>
      <c r="C191" s="3">
        <v>38756</v>
      </c>
      <c r="D191" s="3">
        <v>0</v>
      </c>
      <c r="E191" s="3">
        <v>770000</v>
      </c>
      <c r="F191" s="3">
        <v>48</v>
      </c>
      <c r="G191" s="3">
        <v>11.39</v>
      </c>
      <c r="H191" s="3">
        <v>20047.2016482959</v>
      </c>
      <c r="I191" s="12">
        <v>51.7267046348846</v>
      </c>
      <c r="J191" s="3">
        <v>696</v>
      </c>
      <c r="K191" s="3" t="b">
        <f>FALSE()</f>
        <v>0</v>
      </c>
      <c r="L191" s="3" t="b">
        <f>FALSE()</f>
        <v>0</v>
      </c>
      <c r="M191" s="3" t="s">
        <v>1171</v>
      </c>
      <c r="N191" s="3" t="s">
        <v>85</v>
      </c>
      <c r="O191" s="3" t="b">
        <f>FALSE()</f>
        <v>0</v>
      </c>
      <c r="P191" s="3" t="s">
        <v>1172</v>
      </c>
    </row>
    <row r="192" customHeight="1" spans="1:16">
      <c r="A192" s="3" t="s">
        <v>479</v>
      </c>
      <c r="B192" s="3" t="s">
        <v>480</v>
      </c>
      <c r="C192" s="3">
        <v>45291</v>
      </c>
      <c r="D192" s="3">
        <v>0</v>
      </c>
      <c r="E192" s="3">
        <v>1360000</v>
      </c>
      <c r="F192" s="3">
        <v>84</v>
      </c>
      <c r="G192" s="3">
        <v>10.11</v>
      </c>
      <c r="H192" s="3">
        <v>22654.983171248</v>
      </c>
      <c r="I192" s="12">
        <v>50.020938312795</v>
      </c>
      <c r="J192" s="3">
        <v>726</v>
      </c>
      <c r="K192" s="3" t="b">
        <f>FALSE()</f>
        <v>0</v>
      </c>
      <c r="L192" s="3" t="b">
        <f>TRUE()</f>
        <v>1</v>
      </c>
      <c r="M192" s="3" t="s">
        <v>1171</v>
      </c>
      <c r="N192" s="3" t="s">
        <v>85</v>
      </c>
      <c r="O192" s="3" t="b">
        <f>FALSE()</f>
        <v>0</v>
      </c>
      <c r="P192" s="3" t="s">
        <v>1172</v>
      </c>
    </row>
    <row r="193" customHeight="1" spans="1:16">
      <c r="A193" s="3" t="s">
        <v>481</v>
      </c>
      <c r="B193" s="3" t="s">
        <v>482</v>
      </c>
      <c r="C193" s="3">
        <v>37094</v>
      </c>
      <c r="D193" s="3">
        <v>10800</v>
      </c>
      <c r="E193" s="3">
        <v>170000</v>
      </c>
      <c r="F193" s="3">
        <v>48</v>
      </c>
      <c r="G193" s="3">
        <v>11.2</v>
      </c>
      <c r="H193" s="3">
        <v>4410.26853602724</v>
      </c>
      <c r="I193" s="12">
        <v>41.0046598803775</v>
      </c>
      <c r="J193" s="3">
        <v>736</v>
      </c>
      <c r="K193" s="3" t="b">
        <f>TRUE()</f>
        <v>1</v>
      </c>
      <c r="L193" s="3" t="b">
        <f>TRUE()</f>
        <v>1</v>
      </c>
      <c r="M193" s="3" t="s">
        <v>1174</v>
      </c>
      <c r="N193" s="3" t="s">
        <v>85</v>
      </c>
      <c r="O193" s="3" t="b">
        <f>TRUE()</f>
        <v>1</v>
      </c>
      <c r="P193" s="3" t="s">
        <v>1175</v>
      </c>
    </row>
    <row r="194" customHeight="1" spans="1:16">
      <c r="A194" s="3" t="s">
        <v>483</v>
      </c>
      <c r="B194" s="3" t="s">
        <v>484</v>
      </c>
      <c r="C194" s="3">
        <v>124350</v>
      </c>
      <c r="D194" s="3">
        <v>19885</v>
      </c>
      <c r="E194" s="3">
        <v>1060000</v>
      </c>
      <c r="F194" s="3">
        <v>60</v>
      </c>
      <c r="G194" s="3">
        <v>14.29</v>
      </c>
      <c r="H194" s="3">
        <v>24824.0030811984</v>
      </c>
      <c r="I194" s="12">
        <v>35.9541641183742</v>
      </c>
      <c r="J194" s="3">
        <v>688</v>
      </c>
      <c r="K194" s="3" t="b">
        <f>TRUE()</f>
        <v>1</v>
      </c>
      <c r="L194" s="3" t="b">
        <f>FALSE()</f>
        <v>0</v>
      </c>
      <c r="M194" s="3" t="s">
        <v>1171</v>
      </c>
      <c r="N194" s="3" t="s">
        <v>85</v>
      </c>
      <c r="O194" s="3" t="b">
        <f>FALSE()</f>
        <v>0</v>
      </c>
      <c r="P194" s="3" t="s">
        <v>1172</v>
      </c>
    </row>
    <row r="195" customHeight="1" spans="1:16">
      <c r="A195" s="3" t="s">
        <v>485</v>
      </c>
      <c r="B195" s="3" t="s">
        <v>486</v>
      </c>
      <c r="C195" s="3">
        <v>39105</v>
      </c>
      <c r="D195" s="3">
        <v>9977</v>
      </c>
      <c r="E195" s="3">
        <v>240000</v>
      </c>
      <c r="F195" s="3">
        <v>48</v>
      </c>
      <c r="G195" s="3">
        <v>11.77</v>
      </c>
      <c r="H195" s="3">
        <v>6293.05175549528</v>
      </c>
      <c r="I195" s="12">
        <v>41.6060650952443</v>
      </c>
      <c r="J195" s="3">
        <v>653</v>
      </c>
      <c r="K195" s="3" t="b">
        <f>TRUE()</f>
        <v>1</v>
      </c>
      <c r="L195" s="3" t="b">
        <f>FALSE()</f>
        <v>0</v>
      </c>
      <c r="M195" s="3" t="s">
        <v>1171</v>
      </c>
      <c r="N195" s="3" t="s">
        <v>85</v>
      </c>
      <c r="O195" s="3" t="b">
        <f>FALSE()</f>
        <v>0</v>
      </c>
      <c r="P195" s="3" t="s">
        <v>1172</v>
      </c>
    </row>
    <row r="196" customHeight="1" spans="1:16">
      <c r="A196" s="3" t="s">
        <v>487</v>
      </c>
      <c r="B196" s="3" t="s">
        <v>488</v>
      </c>
      <c r="C196" s="3">
        <v>50564</v>
      </c>
      <c r="D196" s="3">
        <v>21175</v>
      </c>
      <c r="E196" s="3">
        <v>240000</v>
      </c>
      <c r="F196" s="3">
        <v>36</v>
      </c>
      <c r="G196" s="3">
        <v>14.28</v>
      </c>
      <c r="H196" s="3">
        <v>8235.30737600612</v>
      </c>
      <c r="I196" s="12">
        <v>58.1645189779411</v>
      </c>
      <c r="J196" s="3">
        <v>791</v>
      </c>
      <c r="K196" s="3" t="b">
        <f>FALSE()</f>
        <v>0</v>
      </c>
      <c r="L196" s="3" t="b">
        <f>TRUE()</f>
        <v>1</v>
      </c>
      <c r="M196" s="3" t="s">
        <v>1171</v>
      </c>
      <c r="N196" s="3" t="s">
        <v>91</v>
      </c>
      <c r="O196" s="3" t="b">
        <f>TRUE()</f>
        <v>1</v>
      </c>
      <c r="P196" s="3" t="s">
        <v>1173</v>
      </c>
    </row>
    <row r="197" customHeight="1" spans="1:16">
      <c r="A197" s="3" t="s">
        <v>489</v>
      </c>
      <c r="B197" s="3" t="s">
        <v>490</v>
      </c>
      <c r="C197" s="3">
        <v>95704</v>
      </c>
      <c r="D197" s="3">
        <v>0</v>
      </c>
      <c r="E197" s="3">
        <v>690000</v>
      </c>
      <c r="F197" s="3">
        <v>60</v>
      </c>
      <c r="G197" s="3">
        <v>9.51</v>
      </c>
      <c r="H197" s="3">
        <v>14494.6565040248</v>
      </c>
      <c r="I197" s="12">
        <v>15.145298528823</v>
      </c>
      <c r="J197" s="3">
        <v>739</v>
      </c>
      <c r="K197" s="3" t="b">
        <f>TRUE()</f>
        <v>1</v>
      </c>
      <c r="L197" s="3" t="b">
        <f>TRUE()</f>
        <v>1</v>
      </c>
      <c r="M197" s="3" t="s">
        <v>1174</v>
      </c>
      <c r="N197" s="3" t="s">
        <v>85</v>
      </c>
      <c r="O197" s="3" t="b">
        <f>TRUE()</f>
        <v>1</v>
      </c>
      <c r="P197" s="3" t="s">
        <v>1175</v>
      </c>
    </row>
    <row r="198" customHeight="1" spans="1:16">
      <c r="A198" s="3" t="s">
        <v>491</v>
      </c>
      <c r="B198" s="3" t="s">
        <v>492</v>
      </c>
      <c r="C198" s="3">
        <v>117986</v>
      </c>
      <c r="D198" s="3">
        <v>36085</v>
      </c>
      <c r="E198" s="3">
        <v>300000</v>
      </c>
      <c r="F198" s="3">
        <v>36</v>
      </c>
      <c r="G198" s="3">
        <v>14.47</v>
      </c>
      <c r="H198" s="3">
        <v>10321.9044802718</v>
      </c>
      <c r="I198" s="12">
        <v>39.3325517267064</v>
      </c>
      <c r="J198" s="3">
        <v>772</v>
      </c>
      <c r="K198" s="3" t="b">
        <f>TRUE()</f>
        <v>1</v>
      </c>
      <c r="L198" s="3" t="b">
        <f>TRUE()</f>
        <v>1</v>
      </c>
      <c r="M198" s="3" t="s">
        <v>1174</v>
      </c>
      <c r="N198" s="3" t="s">
        <v>85</v>
      </c>
      <c r="O198" s="3" t="b">
        <f>TRUE()</f>
        <v>1</v>
      </c>
      <c r="P198" s="3" t="s">
        <v>1175</v>
      </c>
    </row>
    <row r="199" customHeight="1" spans="1:16">
      <c r="A199" s="3" t="s">
        <v>493</v>
      </c>
      <c r="B199" s="3" t="s">
        <v>494</v>
      </c>
      <c r="C199" s="3">
        <v>79316</v>
      </c>
      <c r="D199" s="3">
        <v>0</v>
      </c>
      <c r="E199" s="3">
        <v>670000</v>
      </c>
      <c r="F199" s="3">
        <v>48</v>
      </c>
      <c r="G199" s="3">
        <v>10.8</v>
      </c>
      <c r="H199" s="3">
        <v>17251.497733115</v>
      </c>
      <c r="I199" s="12">
        <v>21.7503375524673</v>
      </c>
      <c r="J199" s="3">
        <v>707</v>
      </c>
      <c r="K199" s="3" t="b">
        <f>TRUE()</f>
        <v>1</v>
      </c>
      <c r="L199" s="3" t="b">
        <f>TRUE()</f>
        <v>1</v>
      </c>
      <c r="M199" s="3" t="s">
        <v>1174</v>
      </c>
      <c r="N199" s="3" t="s">
        <v>85</v>
      </c>
      <c r="O199" s="3" t="b">
        <f>TRUE()</f>
        <v>1</v>
      </c>
      <c r="P199" s="3" t="s">
        <v>1175</v>
      </c>
    </row>
    <row r="200" customHeight="1" spans="1:16">
      <c r="A200" s="3" t="s">
        <v>495</v>
      </c>
      <c r="B200" s="3" t="s">
        <v>496</v>
      </c>
      <c r="C200" s="3">
        <v>39149</v>
      </c>
      <c r="D200" s="3">
        <v>0</v>
      </c>
      <c r="E200" s="3">
        <v>4380000</v>
      </c>
      <c r="F200" s="3">
        <v>240</v>
      </c>
      <c r="G200" s="3">
        <v>9.58</v>
      </c>
      <c r="H200" s="3">
        <v>41056.4339436543</v>
      </c>
      <c r="I200" s="12">
        <v>104.872241803505</v>
      </c>
      <c r="J200" s="3">
        <v>688</v>
      </c>
      <c r="K200" s="3" t="b">
        <f>FALSE()</f>
        <v>0</v>
      </c>
      <c r="L200" s="3" t="b">
        <f>FALSE()</f>
        <v>0</v>
      </c>
      <c r="M200" s="3" t="s">
        <v>1171</v>
      </c>
      <c r="N200" s="3" t="s">
        <v>85</v>
      </c>
      <c r="O200" s="3" t="b">
        <f>FALSE()</f>
        <v>0</v>
      </c>
      <c r="P200" s="3" t="s">
        <v>1172</v>
      </c>
    </row>
    <row r="201" customHeight="1" spans="1:16">
      <c r="A201" s="3" t="s">
        <v>497</v>
      </c>
      <c r="B201" s="3" t="s">
        <v>498</v>
      </c>
      <c r="C201" s="3">
        <v>65951</v>
      </c>
      <c r="D201" s="3">
        <v>92</v>
      </c>
      <c r="E201" s="3">
        <v>1090000</v>
      </c>
      <c r="F201" s="3">
        <v>240</v>
      </c>
      <c r="G201" s="3">
        <v>9.13</v>
      </c>
      <c r="H201" s="3">
        <v>9898.32999868859</v>
      </c>
      <c r="I201" s="12">
        <v>15.1481099584367</v>
      </c>
      <c r="J201" s="3">
        <v>746</v>
      </c>
      <c r="K201" s="3" t="b">
        <f>TRUE()</f>
        <v>1</v>
      </c>
      <c r="L201" s="3" t="b">
        <f>TRUE()</f>
        <v>1</v>
      </c>
      <c r="M201" s="3" t="s">
        <v>1174</v>
      </c>
      <c r="N201" s="3" t="s">
        <v>85</v>
      </c>
      <c r="O201" s="3" t="b">
        <f>TRUE()</f>
        <v>1</v>
      </c>
      <c r="P201" s="3" t="s">
        <v>1175</v>
      </c>
    </row>
    <row r="202" customHeight="1" spans="1:16">
      <c r="A202" s="3" t="s">
        <v>499</v>
      </c>
      <c r="B202" s="3" t="s">
        <v>500</v>
      </c>
      <c r="C202" s="3">
        <v>44705</v>
      </c>
      <c r="D202" s="3">
        <v>0</v>
      </c>
      <c r="E202" s="3">
        <v>1420000</v>
      </c>
      <c r="F202" s="3">
        <v>240</v>
      </c>
      <c r="G202" s="3">
        <v>8.73</v>
      </c>
      <c r="H202" s="3">
        <v>12530.5767250209</v>
      </c>
      <c r="I202" s="12">
        <v>28.0294748350764</v>
      </c>
      <c r="J202" s="3">
        <v>722</v>
      </c>
      <c r="K202" s="3" t="b">
        <f>TRUE()</f>
        <v>1</v>
      </c>
      <c r="L202" s="3" t="b">
        <f>TRUE()</f>
        <v>1</v>
      </c>
      <c r="M202" s="3" t="s">
        <v>1174</v>
      </c>
      <c r="N202" s="3" t="s">
        <v>85</v>
      </c>
      <c r="O202" s="3" t="b">
        <f>TRUE()</f>
        <v>1</v>
      </c>
      <c r="P202" s="3" t="s">
        <v>1175</v>
      </c>
    </row>
    <row r="203" customHeight="1" spans="1:16">
      <c r="A203" s="3" t="s">
        <v>501</v>
      </c>
      <c r="B203" s="3" t="s">
        <v>502</v>
      </c>
      <c r="C203" s="3">
        <v>36000</v>
      </c>
      <c r="D203" s="3">
        <v>10565</v>
      </c>
      <c r="E203" s="3">
        <v>3320000</v>
      </c>
      <c r="F203" s="3">
        <v>240</v>
      </c>
      <c r="G203" s="3">
        <v>9.26</v>
      </c>
      <c r="H203" s="3">
        <v>30428.2997148058</v>
      </c>
      <c r="I203" s="12">
        <v>113.870276985572</v>
      </c>
      <c r="J203" s="3">
        <v>745</v>
      </c>
      <c r="K203" s="3" t="b">
        <f>FALSE()</f>
        <v>0</v>
      </c>
      <c r="L203" s="3" t="b">
        <f>TRUE()</f>
        <v>1</v>
      </c>
      <c r="M203" s="3" t="s">
        <v>1171</v>
      </c>
      <c r="N203" s="3" t="s">
        <v>85</v>
      </c>
      <c r="O203" s="3" t="b">
        <f>FALSE()</f>
        <v>0</v>
      </c>
      <c r="P203" s="3" t="s">
        <v>1172</v>
      </c>
    </row>
    <row r="204" customHeight="1" spans="1:16">
      <c r="A204" s="3" t="s">
        <v>503</v>
      </c>
      <c r="B204" s="3" t="s">
        <v>504</v>
      </c>
      <c r="C204" s="3">
        <v>47356</v>
      </c>
      <c r="D204" s="3">
        <v>0</v>
      </c>
      <c r="E204" s="3">
        <v>550000</v>
      </c>
      <c r="F204" s="3">
        <v>48</v>
      </c>
      <c r="G204" s="3">
        <v>11.01</v>
      </c>
      <c r="H204" s="3">
        <v>14217.7085502074</v>
      </c>
      <c r="I204" s="12">
        <v>30.0230352018909</v>
      </c>
      <c r="J204" s="3">
        <v>732</v>
      </c>
      <c r="K204" s="3" t="b">
        <f>TRUE()</f>
        <v>1</v>
      </c>
      <c r="L204" s="3" t="b">
        <f>TRUE()</f>
        <v>1</v>
      </c>
      <c r="M204" s="3" t="s">
        <v>1174</v>
      </c>
      <c r="N204" s="3" t="s">
        <v>85</v>
      </c>
      <c r="O204" s="3" t="b">
        <f>TRUE()</f>
        <v>1</v>
      </c>
      <c r="P204" s="3" t="s">
        <v>1175</v>
      </c>
    </row>
    <row r="205" customHeight="1" spans="1:16">
      <c r="A205" s="3" t="s">
        <v>505</v>
      </c>
      <c r="B205" s="3" t="s">
        <v>506</v>
      </c>
      <c r="C205" s="3">
        <v>40642</v>
      </c>
      <c r="D205" s="3">
        <v>17184</v>
      </c>
      <c r="E205" s="3">
        <v>1830000</v>
      </c>
      <c r="F205" s="3">
        <v>60</v>
      </c>
      <c r="G205" s="3">
        <v>13.74</v>
      </c>
      <c r="H205" s="3">
        <v>42334.6290459521</v>
      </c>
      <c r="I205" s="12">
        <v>146.446112509109</v>
      </c>
      <c r="J205" s="3">
        <v>699</v>
      </c>
      <c r="K205" s="3" t="b">
        <f>FALSE()</f>
        <v>0</v>
      </c>
      <c r="L205" s="3" t="b">
        <f>FALSE()</f>
        <v>0</v>
      </c>
      <c r="M205" s="3" t="s">
        <v>1171</v>
      </c>
      <c r="N205" s="3" t="s">
        <v>85</v>
      </c>
      <c r="O205" s="3" t="b">
        <f>FALSE()</f>
        <v>0</v>
      </c>
      <c r="P205" s="3" t="s">
        <v>1172</v>
      </c>
    </row>
    <row r="206" customHeight="1" spans="1:16">
      <c r="A206" s="3" t="s">
        <v>507</v>
      </c>
      <c r="B206" s="3" t="s">
        <v>395</v>
      </c>
      <c r="C206" s="3">
        <v>84203</v>
      </c>
      <c r="D206" s="3">
        <v>7910</v>
      </c>
      <c r="E206" s="3">
        <v>4370000</v>
      </c>
      <c r="F206" s="3">
        <v>240</v>
      </c>
      <c r="G206" s="3">
        <v>9.33</v>
      </c>
      <c r="H206" s="3">
        <v>40250.2388152385</v>
      </c>
      <c r="I206" s="12">
        <v>57.1953954315624</v>
      </c>
      <c r="J206" s="3">
        <v>768</v>
      </c>
      <c r="K206" s="3" t="b">
        <f>FALSE()</f>
        <v>0</v>
      </c>
      <c r="L206" s="3" t="b">
        <f>TRUE()</f>
        <v>1</v>
      </c>
      <c r="M206" s="3" t="s">
        <v>1171</v>
      </c>
      <c r="N206" s="3" t="s">
        <v>85</v>
      </c>
      <c r="O206" s="3" t="b">
        <f>FALSE()</f>
        <v>0</v>
      </c>
      <c r="P206" s="3" t="s">
        <v>1172</v>
      </c>
    </row>
    <row r="207" customHeight="1" spans="1:16">
      <c r="A207" s="3" t="s">
        <v>508</v>
      </c>
      <c r="B207" s="3" t="s">
        <v>509</v>
      </c>
      <c r="C207" s="3">
        <v>167620</v>
      </c>
      <c r="D207" s="3">
        <v>7171</v>
      </c>
      <c r="E207" s="3">
        <v>1090000</v>
      </c>
      <c r="F207" s="3">
        <v>60</v>
      </c>
      <c r="G207" s="3">
        <v>13.92</v>
      </c>
      <c r="H207" s="3">
        <v>25317.208380679</v>
      </c>
      <c r="I207" s="12">
        <v>19.3820596472253</v>
      </c>
      <c r="J207" s="3">
        <v>705</v>
      </c>
      <c r="K207" s="3" t="b">
        <f>TRUE()</f>
        <v>1</v>
      </c>
      <c r="L207" s="3" t="b">
        <f>TRUE()</f>
        <v>1</v>
      </c>
      <c r="M207" s="3" t="s">
        <v>1174</v>
      </c>
      <c r="N207" s="3" t="s">
        <v>85</v>
      </c>
      <c r="O207" s="3" t="b">
        <f>TRUE()</f>
        <v>1</v>
      </c>
      <c r="P207" s="3" t="s">
        <v>1175</v>
      </c>
    </row>
    <row r="208" customHeight="1" spans="1:16">
      <c r="A208" s="3" t="s">
        <v>510</v>
      </c>
      <c r="B208" s="3" t="s">
        <v>511</v>
      </c>
      <c r="C208" s="3">
        <v>27270</v>
      </c>
      <c r="D208" s="3">
        <v>0</v>
      </c>
      <c r="E208" s="3">
        <v>1150000</v>
      </c>
      <c r="F208" s="3">
        <v>84</v>
      </c>
      <c r="G208" s="3">
        <v>10.18</v>
      </c>
      <c r="H208" s="3">
        <v>19198.4879213809</v>
      </c>
      <c r="I208" s="12">
        <v>70.401495861316</v>
      </c>
      <c r="J208" s="3">
        <v>628</v>
      </c>
      <c r="K208" s="3" t="b">
        <f>FALSE()</f>
        <v>0</v>
      </c>
      <c r="L208" s="3" t="b">
        <f>FALSE()</f>
        <v>0</v>
      </c>
      <c r="M208" s="3" t="s">
        <v>1171</v>
      </c>
      <c r="N208" s="3" t="s">
        <v>91</v>
      </c>
      <c r="O208" s="3" t="b">
        <f>TRUE()</f>
        <v>1</v>
      </c>
      <c r="P208" s="3" t="s">
        <v>1173</v>
      </c>
    </row>
    <row r="209" customHeight="1" spans="1:16">
      <c r="A209" s="3" t="s">
        <v>512</v>
      </c>
      <c r="B209" s="3" t="s">
        <v>513</v>
      </c>
      <c r="C209" s="3">
        <v>108928</v>
      </c>
      <c r="D209" s="3">
        <v>0</v>
      </c>
      <c r="E209" s="3">
        <v>1170000</v>
      </c>
      <c r="F209" s="3">
        <v>84</v>
      </c>
      <c r="G209" s="3">
        <v>10.26</v>
      </c>
      <c r="H209" s="3">
        <v>19580.9255077531</v>
      </c>
      <c r="I209" s="12">
        <v>17.9760259141388</v>
      </c>
      <c r="J209" s="3">
        <v>673</v>
      </c>
      <c r="K209" s="3" t="b">
        <f>TRUE()</f>
        <v>1</v>
      </c>
      <c r="L209" s="3" t="b">
        <f>FALSE()</f>
        <v>0</v>
      </c>
      <c r="M209" s="3" t="s">
        <v>1171</v>
      </c>
      <c r="N209" s="3" t="s">
        <v>85</v>
      </c>
      <c r="O209" s="3" t="b">
        <f>FALSE()</f>
        <v>0</v>
      </c>
      <c r="P209" s="3" t="s">
        <v>1172</v>
      </c>
    </row>
    <row r="210" customHeight="1" spans="1:16">
      <c r="A210" s="3" t="s">
        <v>514</v>
      </c>
      <c r="B210" s="3" t="s">
        <v>515</v>
      </c>
      <c r="C210" s="3">
        <v>41869</v>
      </c>
      <c r="D210" s="3">
        <v>7672</v>
      </c>
      <c r="E210" s="3">
        <v>4250000</v>
      </c>
      <c r="F210" s="3">
        <v>240</v>
      </c>
      <c r="G210" s="3">
        <v>9.55</v>
      </c>
      <c r="H210" s="3">
        <v>39754.4441218872</v>
      </c>
      <c r="I210" s="12">
        <v>113.273410212537</v>
      </c>
      <c r="J210" s="3">
        <v>722</v>
      </c>
      <c r="K210" s="3" t="b">
        <f>FALSE()</f>
        <v>0</v>
      </c>
      <c r="L210" s="3" t="b">
        <f>TRUE()</f>
        <v>1</v>
      </c>
      <c r="M210" s="3" t="s">
        <v>1171</v>
      </c>
      <c r="N210" s="3" t="s">
        <v>91</v>
      </c>
      <c r="O210" s="3" t="b">
        <f>TRUE()</f>
        <v>1</v>
      </c>
      <c r="P210" s="3" t="s">
        <v>1173</v>
      </c>
    </row>
    <row r="211" customHeight="1" spans="1:16">
      <c r="A211" s="3" t="s">
        <v>516</v>
      </c>
      <c r="B211" s="3" t="s">
        <v>517</v>
      </c>
      <c r="C211" s="3">
        <v>91287</v>
      </c>
      <c r="D211" s="3">
        <v>0</v>
      </c>
      <c r="E211" s="3">
        <v>920000</v>
      </c>
      <c r="F211" s="3">
        <v>84</v>
      </c>
      <c r="G211" s="3">
        <v>11.6</v>
      </c>
      <c r="H211" s="3">
        <v>16044.372980341</v>
      </c>
      <c r="I211" s="12">
        <v>17.5757478943782</v>
      </c>
      <c r="J211" s="3">
        <v>714</v>
      </c>
      <c r="K211" s="3" t="b">
        <f>TRUE()</f>
        <v>1</v>
      </c>
      <c r="L211" s="3" t="b">
        <f>TRUE()</f>
        <v>1</v>
      </c>
      <c r="M211" s="3" t="s">
        <v>1174</v>
      </c>
      <c r="N211" s="3" t="s">
        <v>85</v>
      </c>
      <c r="O211" s="3" t="b">
        <f>TRUE()</f>
        <v>1</v>
      </c>
      <c r="P211" s="3" t="s">
        <v>1175</v>
      </c>
    </row>
    <row r="212" customHeight="1" spans="1:16">
      <c r="A212" s="3" t="s">
        <v>518</v>
      </c>
      <c r="B212" s="3" t="s">
        <v>194</v>
      </c>
      <c r="C212" s="3">
        <v>88263</v>
      </c>
      <c r="D212" s="3">
        <v>0</v>
      </c>
      <c r="E212" s="3">
        <v>260000</v>
      </c>
      <c r="F212" s="3">
        <v>48</v>
      </c>
      <c r="G212" s="3">
        <v>11.69</v>
      </c>
      <c r="H212" s="3">
        <v>6807.29017360902</v>
      </c>
      <c r="I212" s="12">
        <v>7.7125071361828</v>
      </c>
      <c r="J212" s="3">
        <v>744</v>
      </c>
      <c r="K212" s="3" t="b">
        <f>TRUE()</f>
        <v>1</v>
      </c>
      <c r="L212" s="3" t="b">
        <f>TRUE()</f>
        <v>1</v>
      </c>
      <c r="M212" s="3" t="s">
        <v>1174</v>
      </c>
      <c r="N212" s="3" t="s">
        <v>85</v>
      </c>
      <c r="O212" s="3" t="b">
        <f>TRUE()</f>
        <v>1</v>
      </c>
      <c r="P212" s="3" t="s">
        <v>1175</v>
      </c>
    </row>
    <row r="213" customHeight="1" spans="1:16">
      <c r="A213" s="3" t="s">
        <v>519</v>
      </c>
      <c r="B213" s="3" t="s">
        <v>345</v>
      </c>
      <c r="C213" s="3">
        <v>84714</v>
      </c>
      <c r="D213" s="3">
        <v>30032</v>
      </c>
      <c r="E213" s="3">
        <v>5020000</v>
      </c>
      <c r="F213" s="3">
        <v>240</v>
      </c>
      <c r="G213" s="3">
        <v>9.67</v>
      </c>
      <c r="H213" s="3">
        <v>47351.6707033425</v>
      </c>
      <c r="I213" s="12">
        <v>91.3469682736531</v>
      </c>
      <c r="J213" s="3">
        <v>672</v>
      </c>
      <c r="K213" s="3" t="b">
        <f>FALSE()</f>
        <v>0</v>
      </c>
      <c r="L213" s="3" t="b">
        <f>FALSE()</f>
        <v>0</v>
      </c>
      <c r="M213" s="3" t="s">
        <v>1171</v>
      </c>
      <c r="N213" s="3" t="s">
        <v>91</v>
      </c>
      <c r="O213" s="3" t="b">
        <f>TRUE()</f>
        <v>1</v>
      </c>
      <c r="P213" s="3" t="s">
        <v>1173</v>
      </c>
    </row>
    <row r="214" customHeight="1" spans="1:16">
      <c r="A214" s="3" t="s">
        <v>520</v>
      </c>
      <c r="B214" s="3" t="s">
        <v>521</v>
      </c>
      <c r="C214" s="3">
        <v>86877</v>
      </c>
      <c r="D214" s="3">
        <v>5358</v>
      </c>
      <c r="E214" s="3">
        <v>400000</v>
      </c>
      <c r="F214" s="3">
        <v>36</v>
      </c>
      <c r="G214" s="3">
        <v>13.85</v>
      </c>
      <c r="H214" s="3">
        <v>13641.9285573155</v>
      </c>
      <c r="I214" s="12">
        <v>21.8699178808148</v>
      </c>
      <c r="J214" s="3">
        <v>678</v>
      </c>
      <c r="K214" s="3" t="b">
        <f>TRUE()</f>
        <v>1</v>
      </c>
      <c r="L214" s="3" t="b">
        <f>FALSE()</f>
        <v>0</v>
      </c>
      <c r="M214" s="3" t="s">
        <v>1171</v>
      </c>
      <c r="N214" s="3" t="s">
        <v>85</v>
      </c>
      <c r="O214" s="3" t="b">
        <f>FALSE()</f>
        <v>0</v>
      </c>
      <c r="P214" s="3" t="s">
        <v>1172</v>
      </c>
    </row>
    <row r="215" customHeight="1" spans="1:16">
      <c r="A215" s="3" t="s">
        <v>522</v>
      </c>
      <c r="B215" s="3" t="s">
        <v>523</v>
      </c>
      <c r="C215" s="3">
        <v>49987</v>
      </c>
      <c r="D215" s="3">
        <v>10824</v>
      </c>
      <c r="E215" s="3">
        <v>650000</v>
      </c>
      <c r="F215" s="3">
        <v>60</v>
      </c>
      <c r="G215" s="3">
        <v>14.53</v>
      </c>
      <c r="H215" s="3">
        <v>15303.5573850928</v>
      </c>
      <c r="I215" s="12">
        <v>52.2687046333904</v>
      </c>
      <c r="J215" s="3">
        <v>677</v>
      </c>
      <c r="K215" s="3" t="b">
        <f>FALSE()</f>
        <v>0</v>
      </c>
      <c r="L215" s="3" t="b">
        <f>FALSE()</f>
        <v>0</v>
      </c>
      <c r="M215" s="3" t="s">
        <v>1171</v>
      </c>
      <c r="N215" s="3" t="s">
        <v>85</v>
      </c>
      <c r="O215" s="3" t="b">
        <f>FALSE()</f>
        <v>0</v>
      </c>
      <c r="P215" s="3" t="s">
        <v>1172</v>
      </c>
    </row>
    <row r="216" customHeight="1" spans="1:16">
      <c r="A216" s="3" t="s">
        <v>524</v>
      </c>
      <c r="B216" s="3" t="s">
        <v>525</v>
      </c>
      <c r="C216" s="3">
        <v>30260</v>
      </c>
      <c r="D216" s="3">
        <v>1206</v>
      </c>
      <c r="E216" s="3">
        <v>290000</v>
      </c>
      <c r="F216" s="3">
        <v>36</v>
      </c>
      <c r="G216" s="3">
        <v>13.12</v>
      </c>
      <c r="H216" s="3">
        <v>9788.0163558492</v>
      </c>
      <c r="I216" s="12">
        <v>36.3318451944785</v>
      </c>
      <c r="J216" s="3">
        <v>713</v>
      </c>
      <c r="K216" s="3" t="b">
        <f>TRUE()</f>
        <v>1</v>
      </c>
      <c r="L216" s="3" t="b">
        <f t="shared" ref="L216:L222" si="17">TRUE()</f>
        <v>1</v>
      </c>
      <c r="M216" s="3" t="s">
        <v>1174</v>
      </c>
      <c r="N216" s="3" t="s">
        <v>85</v>
      </c>
      <c r="O216" s="3" t="b">
        <f>TRUE()</f>
        <v>1</v>
      </c>
      <c r="P216" s="3" t="s">
        <v>1175</v>
      </c>
    </row>
    <row r="217" customHeight="1" spans="1:16">
      <c r="A217" s="3" t="s">
        <v>526</v>
      </c>
      <c r="B217" s="3" t="s">
        <v>527</v>
      </c>
      <c r="C217" s="3">
        <v>73515</v>
      </c>
      <c r="D217" s="3">
        <v>0</v>
      </c>
      <c r="E217" s="3">
        <v>140000</v>
      </c>
      <c r="F217" s="3">
        <v>36</v>
      </c>
      <c r="G217" s="3">
        <v>14.11</v>
      </c>
      <c r="H217" s="3">
        <v>4792.35120876261</v>
      </c>
      <c r="I217" s="12">
        <v>6.51887534348447</v>
      </c>
      <c r="J217" s="3">
        <v>712</v>
      </c>
      <c r="K217" s="3" t="b">
        <f>TRUE()</f>
        <v>1</v>
      </c>
      <c r="L217" s="3" t="b">
        <f t="shared" si="17"/>
        <v>1</v>
      </c>
      <c r="M217" s="3" t="s">
        <v>1174</v>
      </c>
      <c r="N217" s="3" t="s">
        <v>85</v>
      </c>
      <c r="O217" s="3" t="b">
        <f>TRUE()</f>
        <v>1</v>
      </c>
      <c r="P217" s="3" t="s">
        <v>1175</v>
      </c>
    </row>
    <row r="218" customHeight="1" spans="1:16">
      <c r="A218" s="3" t="s">
        <v>528</v>
      </c>
      <c r="B218" s="3" t="s">
        <v>529</v>
      </c>
      <c r="C218" s="3">
        <v>40847</v>
      </c>
      <c r="D218" s="3">
        <v>0</v>
      </c>
      <c r="E218" s="3">
        <v>800000</v>
      </c>
      <c r="F218" s="3">
        <v>60</v>
      </c>
      <c r="G218" s="3">
        <v>13.92</v>
      </c>
      <c r="H218" s="3">
        <v>18581.4373436176</v>
      </c>
      <c r="I218" s="12">
        <v>45.4903355047313</v>
      </c>
      <c r="J218" s="3">
        <v>749</v>
      </c>
      <c r="K218" s="3" t="b">
        <f>TRUE()</f>
        <v>1</v>
      </c>
      <c r="L218" s="3" t="b">
        <f t="shared" si="17"/>
        <v>1</v>
      </c>
      <c r="M218" s="3" t="s">
        <v>1174</v>
      </c>
      <c r="N218" s="3" t="s">
        <v>85</v>
      </c>
      <c r="O218" s="3" t="b">
        <f>TRUE()</f>
        <v>1</v>
      </c>
      <c r="P218" s="3" t="s">
        <v>1175</v>
      </c>
    </row>
    <row r="219" customHeight="1" spans="1:16">
      <c r="A219" s="3" t="s">
        <v>530</v>
      </c>
      <c r="B219" s="3" t="s">
        <v>531</v>
      </c>
      <c r="C219" s="3">
        <v>26509</v>
      </c>
      <c r="D219" s="3">
        <v>2089</v>
      </c>
      <c r="E219" s="3">
        <v>1060000</v>
      </c>
      <c r="F219" s="3">
        <v>240</v>
      </c>
      <c r="G219" s="3">
        <v>9.39</v>
      </c>
      <c r="H219" s="3">
        <v>9804.57386329827</v>
      </c>
      <c r="I219" s="12">
        <v>44.8661732366301</v>
      </c>
      <c r="J219" s="3">
        <v>733</v>
      </c>
      <c r="K219" s="3" t="b">
        <f>TRUE()</f>
        <v>1</v>
      </c>
      <c r="L219" s="3" t="b">
        <f t="shared" si="17"/>
        <v>1</v>
      </c>
      <c r="M219" s="3" t="s">
        <v>1174</v>
      </c>
      <c r="N219" s="3" t="s">
        <v>85</v>
      </c>
      <c r="O219" s="3" t="b">
        <f>TRUE()</f>
        <v>1</v>
      </c>
      <c r="P219" s="3" t="s">
        <v>1175</v>
      </c>
    </row>
    <row r="220" customHeight="1" spans="1:16">
      <c r="A220" s="3" t="s">
        <v>532</v>
      </c>
      <c r="B220" s="3" t="s">
        <v>533</v>
      </c>
      <c r="C220" s="3">
        <v>57845</v>
      </c>
      <c r="D220" s="3">
        <v>24680</v>
      </c>
      <c r="E220" s="3">
        <v>3550000</v>
      </c>
      <c r="F220" s="3">
        <v>240</v>
      </c>
      <c r="G220" s="3">
        <v>9.77</v>
      </c>
      <c r="H220" s="3">
        <v>33719.0672039696</v>
      </c>
      <c r="I220" s="12">
        <v>100.957848049044</v>
      </c>
      <c r="J220" s="3">
        <v>799</v>
      </c>
      <c r="K220" s="3" t="b">
        <f>FALSE()</f>
        <v>0</v>
      </c>
      <c r="L220" s="3" t="b">
        <f t="shared" si="17"/>
        <v>1</v>
      </c>
      <c r="M220" s="3" t="s">
        <v>1171</v>
      </c>
      <c r="N220" s="3" t="s">
        <v>85</v>
      </c>
      <c r="O220" s="3" t="b">
        <f>FALSE()</f>
        <v>0</v>
      </c>
      <c r="P220" s="3" t="s">
        <v>1172</v>
      </c>
    </row>
    <row r="221" customHeight="1" spans="1:16">
      <c r="A221" s="3" t="s">
        <v>534</v>
      </c>
      <c r="B221" s="3" t="s">
        <v>535</v>
      </c>
      <c r="C221" s="3">
        <v>50317</v>
      </c>
      <c r="D221" s="3">
        <v>524</v>
      </c>
      <c r="E221" s="3">
        <v>1300000</v>
      </c>
      <c r="F221" s="3">
        <v>84</v>
      </c>
      <c r="G221" s="3">
        <v>10.27</v>
      </c>
      <c r="H221" s="3">
        <v>21763.3324070238</v>
      </c>
      <c r="I221" s="12">
        <v>44.2938418566763</v>
      </c>
      <c r="J221" s="3">
        <v>710</v>
      </c>
      <c r="K221" s="3" t="b">
        <f>TRUE()</f>
        <v>1</v>
      </c>
      <c r="L221" s="3" t="b">
        <f t="shared" si="17"/>
        <v>1</v>
      </c>
      <c r="M221" s="3" t="s">
        <v>1174</v>
      </c>
      <c r="N221" s="3" t="s">
        <v>85</v>
      </c>
      <c r="O221" s="3" t="b">
        <f>TRUE()</f>
        <v>1</v>
      </c>
      <c r="P221" s="3" t="s">
        <v>1175</v>
      </c>
    </row>
    <row r="222" customHeight="1" spans="1:16">
      <c r="A222" s="3" t="s">
        <v>536</v>
      </c>
      <c r="B222" s="3" t="s">
        <v>537</v>
      </c>
      <c r="C222" s="3">
        <v>91843</v>
      </c>
      <c r="D222" s="3">
        <v>0</v>
      </c>
      <c r="E222" s="3">
        <v>180000</v>
      </c>
      <c r="F222" s="3">
        <v>36</v>
      </c>
      <c r="G222" s="3">
        <v>13.23</v>
      </c>
      <c r="H222" s="3">
        <v>6084.87139016724</v>
      </c>
      <c r="I222" s="12">
        <v>6.62529685459669</v>
      </c>
      <c r="J222" s="3">
        <v>723</v>
      </c>
      <c r="K222" s="3" t="b">
        <f>TRUE()</f>
        <v>1</v>
      </c>
      <c r="L222" s="3" t="b">
        <f t="shared" si="17"/>
        <v>1</v>
      </c>
      <c r="M222" s="3" t="s">
        <v>1174</v>
      </c>
      <c r="N222" s="3" t="s">
        <v>85</v>
      </c>
      <c r="O222" s="3" t="b">
        <f>TRUE()</f>
        <v>1</v>
      </c>
      <c r="P222" s="3" t="s">
        <v>1175</v>
      </c>
    </row>
    <row r="223" customHeight="1" spans="1:16">
      <c r="A223" s="3" t="s">
        <v>538</v>
      </c>
      <c r="B223" s="3" t="s">
        <v>539</v>
      </c>
      <c r="C223" s="3">
        <v>85429</v>
      </c>
      <c r="D223" s="3">
        <v>0</v>
      </c>
      <c r="E223" s="3">
        <v>270000</v>
      </c>
      <c r="F223" s="3">
        <v>48</v>
      </c>
      <c r="G223" s="3">
        <v>11.63</v>
      </c>
      <c r="H223" s="3">
        <v>7061.18445106399</v>
      </c>
      <c r="I223" s="12">
        <v>8.26555906198596</v>
      </c>
      <c r="J223" s="3">
        <v>622</v>
      </c>
      <c r="K223" s="3" t="b">
        <f>TRUE()</f>
        <v>1</v>
      </c>
      <c r="L223" s="3" t="b">
        <f>FALSE()</f>
        <v>0</v>
      </c>
      <c r="M223" s="3" t="s">
        <v>1171</v>
      </c>
      <c r="N223" s="3" t="s">
        <v>85</v>
      </c>
      <c r="O223" s="3" t="b">
        <f>FALSE()</f>
        <v>0</v>
      </c>
      <c r="P223" s="3" t="s">
        <v>1172</v>
      </c>
    </row>
    <row r="224" customHeight="1" spans="1:16">
      <c r="A224" s="3" t="s">
        <v>540</v>
      </c>
      <c r="B224" s="3" t="s">
        <v>541</v>
      </c>
      <c r="C224" s="3">
        <v>42915</v>
      </c>
      <c r="D224" s="3">
        <v>16035</v>
      </c>
      <c r="E224" s="3">
        <v>3300000</v>
      </c>
      <c r="F224" s="3">
        <v>240</v>
      </c>
      <c r="G224" s="3">
        <v>8.49</v>
      </c>
      <c r="H224" s="3">
        <v>28617.2839286976</v>
      </c>
      <c r="I224" s="12">
        <v>104.048197433759</v>
      </c>
      <c r="J224" s="3">
        <v>597</v>
      </c>
      <c r="K224" s="3" t="b">
        <f>FALSE()</f>
        <v>0</v>
      </c>
      <c r="L224" s="3" t="b">
        <f>FALSE()</f>
        <v>0</v>
      </c>
      <c r="M224" s="3" t="s">
        <v>1171</v>
      </c>
      <c r="N224" s="3" t="s">
        <v>91</v>
      </c>
      <c r="O224" s="3" t="b">
        <f>TRUE()</f>
        <v>1</v>
      </c>
      <c r="P224" s="3" t="s">
        <v>1173</v>
      </c>
    </row>
    <row r="225" customHeight="1" spans="1:16">
      <c r="A225" s="3" t="s">
        <v>542</v>
      </c>
      <c r="B225" s="3" t="s">
        <v>543</v>
      </c>
      <c r="C225" s="3">
        <v>53377</v>
      </c>
      <c r="D225" s="3">
        <v>0</v>
      </c>
      <c r="E225" s="3">
        <v>780000</v>
      </c>
      <c r="F225" s="3">
        <v>60</v>
      </c>
      <c r="G225" s="3">
        <v>9.79</v>
      </c>
      <c r="H225" s="3">
        <v>16492.2136900258</v>
      </c>
      <c r="I225" s="12">
        <v>30.8976032561324</v>
      </c>
      <c r="J225" s="3">
        <v>712</v>
      </c>
      <c r="K225" s="3" t="b">
        <f>TRUE()</f>
        <v>1</v>
      </c>
      <c r="L225" s="3" t="b">
        <f>TRUE()</f>
        <v>1</v>
      </c>
      <c r="M225" s="3" t="s">
        <v>1174</v>
      </c>
      <c r="N225" s="3" t="s">
        <v>85</v>
      </c>
      <c r="O225" s="3" t="b">
        <f>TRUE()</f>
        <v>1</v>
      </c>
      <c r="P225" s="3" t="s">
        <v>1175</v>
      </c>
    </row>
    <row r="226" customHeight="1" spans="1:16">
      <c r="A226" s="3" t="s">
        <v>544</v>
      </c>
      <c r="B226" s="3" t="s">
        <v>545</v>
      </c>
      <c r="C226" s="3">
        <v>61391</v>
      </c>
      <c r="D226" s="3">
        <v>0</v>
      </c>
      <c r="E226" s="3">
        <v>780000</v>
      </c>
      <c r="F226" s="3">
        <v>60</v>
      </c>
      <c r="G226" s="3">
        <v>14.12</v>
      </c>
      <c r="H226" s="3">
        <v>18197.7978901584</v>
      </c>
      <c r="I226" s="12">
        <v>29.6424522978261</v>
      </c>
      <c r="J226" s="3">
        <v>659</v>
      </c>
      <c r="K226" s="3" t="b">
        <f>TRUE()</f>
        <v>1</v>
      </c>
      <c r="L226" s="3" t="b">
        <f>FALSE()</f>
        <v>0</v>
      </c>
      <c r="M226" s="3" t="s">
        <v>1171</v>
      </c>
      <c r="N226" s="3" t="s">
        <v>85</v>
      </c>
      <c r="O226" s="3" t="b">
        <f>FALSE()</f>
        <v>0</v>
      </c>
      <c r="P226" s="3" t="s">
        <v>1172</v>
      </c>
    </row>
    <row r="227" customHeight="1" spans="1:16">
      <c r="A227" s="3" t="s">
        <v>546</v>
      </c>
      <c r="B227" s="3" t="s">
        <v>236</v>
      </c>
      <c r="C227" s="3">
        <v>43119</v>
      </c>
      <c r="D227" s="3">
        <v>0</v>
      </c>
      <c r="E227" s="3">
        <v>1050000</v>
      </c>
      <c r="F227" s="3">
        <v>60</v>
      </c>
      <c r="G227" s="3">
        <v>9.14</v>
      </c>
      <c r="H227" s="3">
        <v>21867.6859498986</v>
      </c>
      <c r="I227" s="12">
        <v>50.7147335279078</v>
      </c>
      <c r="J227" s="3">
        <v>730</v>
      </c>
      <c r="K227" s="3" t="b">
        <f>FALSE()</f>
        <v>0</v>
      </c>
      <c r="L227" s="3" t="b">
        <f>TRUE()</f>
        <v>1</v>
      </c>
      <c r="M227" s="3" t="s">
        <v>1171</v>
      </c>
      <c r="N227" s="3" t="s">
        <v>85</v>
      </c>
      <c r="O227" s="3" t="b">
        <f>FALSE()</f>
        <v>0</v>
      </c>
      <c r="P227" s="3" t="s">
        <v>1172</v>
      </c>
    </row>
    <row r="228" customHeight="1" spans="1:16">
      <c r="A228" s="3" t="s">
        <v>547</v>
      </c>
      <c r="B228" s="3" t="s">
        <v>548</v>
      </c>
      <c r="C228" s="3">
        <v>42088</v>
      </c>
      <c r="D228" s="3">
        <v>4783</v>
      </c>
      <c r="E228" s="3">
        <v>3040000</v>
      </c>
      <c r="F228" s="3">
        <v>240</v>
      </c>
      <c r="G228" s="3">
        <v>9.28</v>
      </c>
      <c r="H228" s="3">
        <v>27901.4872139219</v>
      </c>
      <c r="I228" s="12">
        <v>77.6574967067142</v>
      </c>
      <c r="J228" s="3">
        <v>721</v>
      </c>
      <c r="K228" s="3" t="b">
        <f>FALSE()</f>
        <v>0</v>
      </c>
      <c r="L228" s="3" t="b">
        <f>TRUE()</f>
        <v>1</v>
      </c>
      <c r="M228" s="3" t="s">
        <v>1171</v>
      </c>
      <c r="N228" s="3" t="s">
        <v>85</v>
      </c>
      <c r="O228" s="3" t="b">
        <f>FALSE()</f>
        <v>0</v>
      </c>
      <c r="P228" s="3" t="s">
        <v>1172</v>
      </c>
    </row>
    <row r="229" customHeight="1" spans="1:16">
      <c r="A229" s="3" t="s">
        <v>549</v>
      </c>
      <c r="B229" s="3" t="s">
        <v>550</v>
      </c>
      <c r="C229" s="3">
        <v>85615</v>
      </c>
      <c r="D229" s="3">
        <v>0</v>
      </c>
      <c r="E229" s="3">
        <v>1250000</v>
      </c>
      <c r="F229" s="3">
        <v>84</v>
      </c>
      <c r="G229" s="3">
        <v>11.03</v>
      </c>
      <c r="H229" s="3">
        <v>21422.7678343709</v>
      </c>
      <c r="I229" s="12">
        <v>25.022213203727</v>
      </c>
      <c r="J229" s="3">
        <v>743</v>
      </c>
      <c r="K229" s="3" t="b">
        <f>TRUE()</f>
        <v>1</v>
      </c>
      <c r="L229" s="3" t="b">
        <f>TRUE()</f>
        <v>1</v>
      </c>
      <c r="M229" s="3" t="s">
        <v>1174</v>
      </c>
      <c r="N229" s="3" t="s">
        <v>85</v>
      </c>
      <c r="O229" s="3" t="b">
        <f>TRUE()</f>
        <v>1</v>
      </c>
      <c r="P229" s="3" t="s">
        <v>1175</v>
      </c>
    </row>
    <row r="230" customHeight="1" spans="1:16">
      <c r="A230" s="3" t="s">
        <v>551</v>
      </c>
      <c r="B230" s="3" t="s">
        <v>552</v>
      </c>
      <c r="C230" s="3">
        <v>67411</v>
      </c>
      <c r="D230" s="3">
        <v>0</v>
      </c>
      <c r="E230" s="3">
        <v>120000</v>
      </c>
      <c r="F230" s="3">
        <v>36</v>
      </c>
      <c r="G230" s="3">
        <v>14.07</v>
      </c>
      <c r="H230" s="3">
        <v>4105.39655519927</v>
      </c>
      <c r="I230" s="12">
        <v>6.09009887881691</v>
      </c>
      <c r="J230" s="3">
        <v>685</v>
      </c>
      <c r="K230" s="3" t="b">
        <f>TRUE()</f>
        <v>1</v>
      </c>
      <c r="L230" s="3" t="b">
        <f>FALSE()</f>
        <v>0</v>
      </c>
      <c r="M230" s="3" t="s">
        <v>1171</v>
      </c>
      <c r="N230" s="3" t="s">
        <v>85</v>
      </c>
      <c r="O230" s="3" t="b">
        <f>FALSE()</f>
        <v>0</v>
      </c>
      <c r="P230" s="3" t="s">
        <v>1172</v>
      </c>
    </row>
    <row r="231" customHeight="1" spans="1:16">
      <c r="A231" s="3" t="s">
        <v>553</v>
      </c>
      <c r="B231" s="3" t="s">
        <v>554</v>
      </c>
      <c r="C231" s="3">
        <v>62699</v>
      </c>
      <c r="D231" s="3">
        <v>15162</v>
      </c>
      <c r="E231" s="3">
        <v>1270000</v>
      </c>
      <c r="F231" s="3">
        <v>60</v>
      </c>
      <c r="G231" s="3">
        <v>13.72</v>
      </c>
      <c r="H231" s="3">
        <v>29366.6462149112</v>
      </c>
      <c r="I231" s="12">
        <v>71.0197071961455</v>
      </c>
      <c r="J231" s="3">
        <v>705</v>
      </c>
      <c r="K231" s="3" t="b">
        <f>FALSE()</f>
        <v>0</v>
      </c>
      <c r="L231" s="3" t="b">
        <f>TRUE()</f>
        <v>1</v>
      </c>
      <c r="M231" s="3" t="s">
        <v>1171</v>
      </c>
      <c r="N231" s="3" t="s">
        <v>85</v>
      </c>
      <c r="O231" s="3" t="b">
        <f>FALSE()</f>
        <v>0</v>
      </c>
      <c r="P231" s="3" t="s">
        <v>1172</v>
      </c>
    </row>
    <row r="232" customHeight="1" spans="1:16">
      <c r="A232" s="3" t="s">
        <v>555</v>
      </c>
      <c r="B232" s="3" t="s">
        <v>556</v>
      </c>
      <c r="C232" s="3">
        <v>69629</v>
      </c>
      <c r="D232" s="3">
        <v>11126</v>
      </c>
      <c r="E232" s="3">
        <v>490000</v>
      </c>
      <c r="F232" s="3">
        <v>60</v>
      </c>
      <c r="G232" s="3">
        <v>15.02</v>
      </c>
      <c r="H232" s="3">
        <v>11662.2105146017</v>
      </c>
      <c r="I232" s="12">
        <v>32.7280450883996</v>
      </c>
      <c r="J232" s="3">
        <v>707</v>
      </c>
      <c r="K232" s="3" t="b">
        <f>TRUE()</f>
        <v>1</v>
      </c>
      <c r="L232" s="3" t="b">
        <f>TRUE()</f>
        <v>1</v>
      </c>
      <c r="M232" s="3" t="s">
        <v>1174</v>
      </c>
      <c r="N232" s="3" t="s">
        <v>85</v>
      </c>
      <c r="O232" s="3" t="b">
        <f>TRUE()</f>
        <v>1</v>
      </c>
      <c r="P232" s="3" t="s">
        <v>1175</v>
      </c>
    </row>
    <row r="233" customHeight="1" spans="1:16">
      <c r="A233" s="3" t="s">
        <v>557</v>
      </c>
      <c r="B233" s="3" t="s">
        <v>434</v>
      </c>
      <c r="C233" s="3">
        <v>57788</v>
      </c>
      <c r="D233" s="3">
        <v>6108</v>
      </c>
      <c r="E233" s="3">
        <v>450000</v>
      </c>
      <c r="F233" s="3">
        <v>60</v>
      </c>
      <c r="G233" s="3">
        <v>10.09</v>
      </c>
      <c r="H233" s="3">
        <v>9581.10996048008</v>
      </c>
      <c r="I233" s="12">
        <v>27.1494254178724</v>
      </c>
      <c r="J233" s="3">
        <v>675</v>
      </c>
      <c r="K233" s="3" t="b">
        <f>TRUE()</f>
        <v>1</v>
      </c>
      <c r="L233" s="3" t="b">
        <f>FALSE()</f>
        <v>0</v>
      </c>
      <c r="M233" s="3" t="s">
        <v>1171</v>
      </c>
      <c r="N233" s="3" t="s">
        <v>85</v>
      </c>
      <c r="O233" s="3" t="b">
        <f>FALSE()</f>
        <v>0</v>
      </c>
      <c r="P233" s="3" t="s">
        <v>1172</v>
      </c>
    </row>
    <row r="234" customHeight="1" spans="1:16">
      <c r="A234" s="3" t="s">
        <v>558</v>
      </c>
      <c r="B234" s="3" t="s">
        <v>559</v>
      </c>
      <c r="C234" s="3">
        <v>66570</v>
      </c>
      <c r="D234" s="3">
        <v>0</v>
      </c>
      <c r="E234" s="3">
        <v>3720000</v>
      </c>
      <c r="F234" s="3">
        <v>240</v>
      </c>
      <c r="G234" s="3">
        <v>9.47</v>
      </c>
      <c r="H234" s="3">
        <v>34602.4362484627</v>
      </c>
      <c r="I234" s="12">
        <v>51.9790239574323</v>
      </c>
      <c r="J234" s="3">
        <v>832</v>
      </c>
      <c r="K234" s="3" t="b">
        <f>FALSE()</f>
        <v>0</v>
      </c>
      <c r="L234" s="3" t="b">
        <f>TRUE()</f>
        <v>1</v>
      </c>
      <c r="M234" s="3" t="s">
        <v>1171</v>
      </c>
      <c r="N234" s="3" t="s">
        <v>85</v>
      </c>
      <c r="O234" s="3" t="b">
        <f>FALSE()</f>
        <v>0</v>
      </c>
      <c r="P234" s="3" t="s">
        <v>1172</v>
      </c>
    </row>
    <row r="235" customHeight="1" spans="1:16">
      <c r="A235" s="3" t="s">
        <v>560</v>
      </c>
      <c r="B235" s="3" t="s">
        <v>357</v>
      </c>
      <c r="C235" s="3">
        <v>39759</v>
      </c>
      <c r="D235" s="3">
        <v>5323</v>
      </c>
      <c r="E235" s="3">
        <v>710000</v>
      </c>
      <c r="F235" s="3">
        <v>60</v>
      </c>
      <c r="G235" s="3">
        <v>14.71</v>
      </c>
      <c r="H235" s="3">
        <v>16782.9635877026</v>
      </c>
      <c r="I235" s="12">
        <v>55.5998983568564</v>
      </c>
      <c r="J235" s="3">
        <v>659</v>
      </c>
      <c r="K235" s="3" t="b">
        <f>FALSE()</f>
        <v>0</v>
      </c>
      <c r="L235" s="3" t="b">
        <f>FALSE()</f>
        <v>0</v>
      </c>
      <c r="M235" s="3" t="s">
        <v>1171</v>
      </c>
      <c r="N235" s="3" t="s">
        <v>85</v>
      </c>
      <c r="O235" s="3" t="b">
        <f>FALSE()</f>
        <v>0</v>
      </c>
      <c r="P235" s="3" t="s">
        <v>1172</v>
      </c>
    </row>
    <row r="236" customHeight="1" spans="1:16">
      <c r="A236" s="3" t="s">
        <v>561</v>
      </c>
      <c r="B236" s="3" t="s">
        <v>562</v>
      </c>
      <c r="C236" s="3">
        <v>43068</v>
      </c>
      <c r="D236" s="3">
        <v>4969</v>
      </c>
      <c r="E236" s="3">
        <v>610000</v>
      </c>
      <c r="F236" s="3">
        <v>48</v>
      </c>
      <c r="G236" s="3">
        <v>10.89</v>
      </c>
      <c r="H236" s="3">
        <v>15733.2028414903</v>
      </c>
      <c r="I236" s="12">
        <v>48.0686422436386</v>
      </c>
      <c r="J236" s="3">
        <v>774</v>
      </c>
      <c r="K236" s="3" t="b">
        <f>TRUE()</f>
        <v>1</v>
      </c>
      <c r="L236" s="3" t="b">
        <f>TRUE()</f>
        <v>1</v>
      </c>
      <c r="M236" s="3" t="s">
        <v>1174</v>
      </c>
      <c r="N236" s="3" t="s">
        <v>85</v>
      </c>
      <c r="O236" s="3" t="b">
        <f>TRUE()</f>
        <v>1</v>
      </c>
      <c r="P236" s="3" t="s">
        <v>1175</v>
      </c>
    </row>
    <row r="237" customHeight="1" spans="1:16">
      <c r="A237" s="3" t="s">
        <v>563</v>
      </c>
      <c r="B237" s="3" t="s">
        <v>564</v>
      </c>
      <c r="C237" s="3">
        <v>48084</v>
      </c>
      <c r="D237" s="3">
        <v>1334</v>
      </c>
      <c r="E237" s="3">
        <v>5200000</v>
      </c>
      <c r="F237" s="3">
        <v>240</v>
      </c>
      <c r="G237" s="3">
        <v>9.2</v>
      </c>
      <c r="H237" s="3">
        <v>47456.6929725329</v>
      </c>
      <c r="I237" s="12">
        <v>101.469705042286</v>
      </c>
      <c r="J237" s="3">
        <v>657</v>
      </c>
      <c r="K237" s="3" t="b">
        <f>FALSE()</f>
        <v>0</v>
      </c>
      <c r="L237" s="3" t="b">
        <f>FALSE()</f>
        <v>0</v>
      </c>
      <c r="M237" s="3" t="s">
        <v>1171</v>
      </c>
      <c r="N237" s="3" t="s">
        <v>85</v>
      </c>
      <c r="O237" s="3" t="b">
        <f>FALSE()</f>
        <v>0</v>
      </c>
      <c r="P237" s="3" t="s">
        <v>1172</v>
      </c>
    </row>
    <row r="238" customHeight="1" spans="1:16">
      <c r="A238" s="3" t="s">
        <v>565</v>
      </c>
      <c r="B238" s="3" t="s">
        <v>566</v>
      </c>
      <c r="C238" s="3">
        <v>40445</v>
      </c>
      <c r="D238" s="3">
        <v>0</v>
      </c>
      <c r="E238" s="3">
        <v>370000</v>
      </c>
      <c r="F238" s="3">
        <v>60</v>
      </c>
      <c r="G238" s="3">
        <v>10.04</v>
      </c>
      <c r="H238" s="3">
        <v>7868.69072658496</v>
      </c>
      <c r="I238" s="12">
        <v>19.4552867513536</v>
      </c>
      <c r="J238" s="3">
        <v>719</v>
      </c>
      <c r="K238" s="3" t="b">
        <f>TRUE()</f>
        <v>1</v>
      </c>
      <c r="L238" s="3" t="b">
        <f>TRUE()</f>
        <v>1</v>
      </c>
      <c r="M238" s="3" t="s">
        <v>1174</v>
      </c>
      <c r="N238" s="3" t="s">
        <v>85</v>
      </c>
      <c r="O238" s="3" t="b">
        <f>TRUE()</f>
        <v>1</v>
      </c>
      <c r="P238" s="3" t="s">
        <v>1175</v>
      </c>
    </row>
    <row r="239" customHeight="1" spans="1:16">
      <c r="A239" s="3" t="s">
        <v>567</v>
      </c>
      <c r="B239" s="3" t="s">
        <v>568</v>
      </c>
      <c r="C239" s="3">
        <v>42144</v>
      </c>
      <c r="D239" s="3">
        <v>1231</v>
      </c>
      <c r="E239" s="3">
        <v>1180000</v>
      </c>
      <c r="F239" s="3">
        <v>60</v>
      </c>
      <c r="G239" s="3">
        <v>13.97</v>
      </c>
      <c r="H239" s="3">
        <v>27438.1867764542</v>
      </c>
      <c r="I239" s="12">
        <v>68.0267339987998</v>
      </c>
      <c r="J239" s="3">
        <v>722</v>
      </c>
      <c r="K239" s="3" t="b">
        <f>FALSE()</f>
        <v>0</v>
      </c>
      <c r="L239" s="3" t="b">
        <f>TRUE()</f>
        <v>1</v>
      </c>
      <c r="M239" s="3" t="s">
        <v>1171</v>
      </c>
      <c r="N239" s="3" t="s">
        <v>85</v>
      </c>
      <c r="O239" s="3" t="b">
        <f>FALSE()</f>
        <v>0</v>
      </c>
      <c r="P239" s="3" t="s">
        <v>1172</v>
      </c>
    </row>
    <row r="240" customHeight="1" spans="1:16">
      <c r="A240" s="3" t="s">
        <v>569</v>
      </c>
      <c r="B240" s="3" t="s">
        <v>570</v>
      </c>
      <c r="C240" s="3">
        <v>32081</v>
      </c>
      <c r="D240" s="3">
        <v>0</v>
      </c>
      <c r="E240" s="3">
        <v>310000</v>
      </c>
      <c r="F240" s="3">
        <v>36</v>
      </c>
      <c r="G240" s="3">
        <v>13.48</v>
      </c>
      <c r="H240" s="3">
        <v>10516.9405165272</v>
      </c>
      <c r="I240" s="12">
        <v>32.7824585160289</v>
      </c>
      <c r="J240" s="3">
        <v>754</v>
      </c>
      <c r="K240" s="3" t="b">
        <f>TRUE()</f>
        <v>1</v>
      </c>
      <c r="L240" s="3" t="b">
        <f>TRUE()</f>
        <v>1</v>
      </c>
      <c r="M240" s="3" t="s">
        <v>1174</v>
      </c>
      <c r="N240" s="3" t="s">
        <v>85</v>
      </c>
      <c r="O240" s="3" t="b">
        <f>TRUE()</f>
        <v>1</v>
      </c>
      <c r="P240" s="3" t="s">
        <v>1175</v>
      </c>
    </row>
    <row r="241" customHeight="1" spans="1:16">
      <c r="A241" s="3" t="s">
        <v>571</v>
      </c>
      <c r="B241" s="3" t="s">
        <v>392</v>
      </c>
      <c r="C241" s="3">
        <v>31573</v>
      </c>
      <c r="D241" s="3">
        <v>7215</v>
      </c>
      <c r="E241" s="3">
        <v>470000</v>
      </c>
      <c r="F241" s="3">
        <v>60</v>
      </c>
      <c r="G241" s="3">
        <v>14.11</v>
      </c>
      <c r="H241" s="3">
        <v>10962.8995867631</v>
      </c>
      <c r="I241" s="12">
        <v>57.5741918308781</v>
      </c>
      <c r="J241" s="3">
        <v>738</v>
      </c>
      <c r="K241" s="3" t="b">
        <f>FALSE()</f>
        <v>0</v>
      </c>
      <c r="L241" s="3" t="b">
        <f>TRUE()</f>
        <v>1</v>
      </c>
      <c r="M241" s="3" t="s">
        <v>1171</v>
      </c>
      <c r="N241" s="3" t="s">
        <v>85</v>
      </c>
      <c r="O241" s="3" t="b">
        <f>FALSE()</f>
        <v>0</v>
      </c>
      <c r="P241" s="3" t="s">
        <v>1172</v>
      </c>
    </row>
    <row r="242" customHeight="1" spans="1:16">
      <c r="A242" s="3" t="s">
        <v>572</v>
      </c>
      <c r="B242" s="3" t="s">
        <v>573</v>
      </c>
      <c r="C242" s="3">
        <v>27395</v>
      </c>
      <c r="D242" s="3">
        <v>1160</v>
      </c>
      <c r="E242" s="3">
        <v>280000</v>
      </c>
      <c r="F242" s="3">
        <v>48</v>
      </c>
      <c r="G242" s="3">
        <v>11.66</v>
      </c>
      <c r="H242" s="3">
        <v>7326.81816523339</v>
      </c>
      <c r="I242" s="12">
        <v>30.9794421070757</v>
      </c>
      <c r="J242" s="3">
        <v>600</v>
      </c>
      <c r="K242" s="3" t="b">
        <f t="shared" ref="K242:K250" si="18">TRUE()</f>
        <v>1</v>
      </c>
      <c r="L242" s="3" t="b">
        <f>FALSE()</f>
        <v>0</v>
      </c>
      <c r="M242" s="3" t="s">
        <v>1171</v>
      </c>
      <c r="N242" s="3" t="s">
        <v>91</v>
      </c>
      <c r="O242" s="3" t="b">
        <f>TRUE()</f>
        <v>1</v>
      </c>
      <c r="P242" s="3" t="s">
        <v>1173</v>
      </c>
    </row>
    <row r="243" customHeight="1" spans="1:16">
      <c r="A243" s="3" t="s">
        <v>574</v>
      </c>
      <c r="B243" s="3" t="s">
        <v>575</v>
      </c>
      <c r="C243" s="3">
        <v>63491</v>
      </c>
      <c r="D243" s="3">
        <v>1585</v>
      </c>
      <c r="E243" s="3">
        <v>1040000</v>
      </c>
      <c r="F243" s="3">
        <v>84</v>
      </c>
      <c r="G243" s="3">
        <v>11.32</v>
      </c>
      <c r="H243" s="3">
        <v>17982.7985003705</v>
      </c>
      <c r="I243" s="12">
        <v>30.8197988697145</v>
      </c>
      <c r="J243" s="3">
        <v>854</v>
      </c>
      <c r="K243" s="3" t="b">
        <f t="shared" si="18"/>
        <v>1</v>
      </c>
      <c r="L243" s="3" t="b">
        <f>TRUE()</f>
        <v>1</v>
      </c>
      <c r="M243" s="3" t="s">
        <v>1174</v>
      </c>
      <c r="N243" s="3" t="s">
        <v>85</v>
      </c>
      <c r="O243" s="3" t="b">
        <f>TRUE()</f>
        <v>1</v>
      </c>
      <c r="P243" s="3" t="s">
        <v>1175</v>
      </c>
    </row>
    <row r="244" customHeight="1" spans="1:16">
      <c r="A244" s="3" t="s">
        <v>576</v>
      </c>
      <c r="B244" s="3" t="s">
        <v>577</v>
      </c>
      <c r="C244" s="3">
        <v>172754</v>
      </c>
      <c r="D244" s="3">
        <v>56555</v>
      </c>
      <c r="E244" s="3">
        <v>350000</v>
      </c>
      <c r="F244" s="3">
        <v>36</v>
      </c>
      <c r="G244" s="3">
        <v>13.86</v>
      </c>
      <c r="H244" s="3">
        <v>11938.3853639872</v>
      </c>
      <c r="I244" s="12">
        <v>39.6479302152119</v>
      </c>
      <c r="J244" s="3">
        <v>549</v>
      </c>
      <c r="K244" s="3" t="b">
        <f t="shared" si="18"/>
        <v>1</v>
      </c>
      <c r="L244" s="3" t="b">
        <f>FALSE()</f>
        <v>0</v>
      </c>
      <c r="M244" s="3" t="s">
        <v>1171</v>
      </c>
      <c r="N244" s="3" t="s">
        <v>85</v>
      </c>
      <c r="O244" s="3" t="b">
        <f>FALSE()</f>
        <v>0</v>
      </c>
      <c r="P244" s="3" t="s">
        <v>1172</v>
      </c>
    </row>
    <row r="245" customHeight="1" spans="1:16">
      <c r="A245" s="3" t="s">
        <v>578</v>
      </c>
      <c r="B245" s="3" t="s">
        <v>213</v>
      </c>
      <c r="C245" s="3">
        <v>38189</v>
      </c>
      <c r="D245" s="3">
        <v>8459</v>
      </c>
      <c r="E245" s="3">
        <v>270000</v>
      </c>
      <c r="F245" s="3">
        <v>48</v>
      </c>
      <c r="G245" s="3">
        <v>11.99</v>
      </c>
      <c r="H245" s="3">
        <v>7108.80996284415</v>
      </c>
      <c r="I245" s="12">
        <v>40.7651678830138</v>
      </c>
      <c r="J245" s="3">
        <v>786</v>
      </c>
      <c r="K245" s="3" t="b">
        <f t="shared" si="18"/>
        <v>1</v>
      </c>
      <c r="L245" s="3" t="b">
        <f>TRUE()</f>
        <v>1</v>
      </c>
      <c r="M245" s="3" t="s">
        <v>1174</v>
      </c>
      <c r="N245" s="3" t="s">
        <v>85</v>
      </c>
      <c r="O245" s="3" t="b">
        <f>TRUE()</f>
        <v>1</v>
      </c>
      <c r="P245" s="3" t="s">
        <v>1175</v>
      </c>
    </row>
    <row r="246" customHeight="1" spans="1:16">
      <c r="A246" s="3" t="s">
        <v>579</v>
      </c>
      <c r="B246" s="3" t="s">
        <v>580</v>
      </c>
      <c r="C246" s="3">
        <v>135838</v>
      </c>
      <c r="D246" s="3">
        <v>0</v>
      </c>
      <c r="E246" s="3">
        <v>2310000</v>
      </c>
      <c r="F246" s="3">
        <v>240</v>
      </c>
      <c r="G246" s="3">
        <v>8.22</v>
      </c>
      <c r="H246" s="3">
        <v>19639.2405039001</v>
      </c>
      <c r="I246" s="12">
        <v>14.4578398562259</v>
      </c>
      <c r="J246" s="3">
        <v>721</v>
      </c>
      <c r="K246" s="3" t="b">
        <f t="shared" si="18"/>
        <v>1</v>
      </c>
      <c r="L246" s="3" t="b">
        <f>TRUE()</f>
        <v>1</v>
      </c>
      <c r="M246" s="3" t="s">
        <v>1174</v>
      </c>
      <c r="N246" s="3" t="s">
        <v>85</v>
      </c>
      <c r="O246" s="3" t="b">
        <f>TRUE()</f>
        <v>1</v>
      </c>
      <c r="P246" s="3" t="s">
        <v>1175</v>
      </c>
    </row>
    <row r="247" customHeight="1" spans="1:16">
      <c r="A247" s="3" t="s">
        <v>581</v>
      </c>
      <c r="B247" s="3" t="s">
        <v>582</v>
      </c>
      <c r="C247" s="3">
        <v>43412</v>
      </c>
      <c r="D247" s="3">
        <v>0</v>
      </c>
      <c r="E247" s="3">
        <v>760000</v>
      </c>
      <c r="F247" s="3">
        <v>48</v>
      </c>
      <c r="G247" s="3">
        <v>12.13</v>
      </c>
      <c r="H247" s="3">
        <v>20062.2591849287</v>
      </c>
      <c r="I247" s="12">
        <v>46.2136256908889</v>
      </c>
      <c r="J247" s="3">
        <v>736</v>
      </c>
      <c r="K247" s="3" t="b">
        <f t="shared" si="18"/>
        <v>1</v>
      </c>
      <c r="L247" s="3" t="b">
        <f>TRUE()</f>
        <v>1</v>
      </c>
      <c r="M247" s="3" t="s">
        <v>1174</v>
      </c>
      <c r="N247" s="3" t="s">
        <v>85</v>
      </c>
      <c r="O247" s="3" t="b">
        <f>TRUE()</f>
        <v>1</v>
      </c>
      <c r="P247" s="3" t="s">
        <v>1175</v>
      </c>
    </row>
    <row r="248" customHeight="1" spans="1:16">
      <c r="A248" s="3" t="s">
        <v>583</v>
      </c>
      <c r="B248" s="3" t="s">
        <v>584</v>
      </c>
      <c r="C248" s="3">
        <v>56819</v>
      </c>
      <c r="D248" s="3">
        <v>0</v>
      </c>
      <c r="E248" s="3">
        <v>600000</v>
      </c>
      <c r="F248" s="3">
        <v>60</v>
      </c>
      <c r="G248" s="3">
        <v>10.37</v>
      </c>
      <c r="H248" s="3">
        <v>12857.7343930976</v>
      </c>
      <c r="I248" s="12">
        <v>22.6292866701237</v>
      </c>
      <c r="J248" s="3">
        <v>678</v>
      </c>
      <c r="K248" s="3" t="b">
        <f t="shared" si="18"/>
        <v>1</v>
      </c>
      <c r="L248" s="3" t="b">
        <f>FALSE()</f>
        <v>0</v>
      </c>
      <c r="M248" s="3" t="s">
        <v>1171</v>
      </c>
      <c r="N248" s="3" t="s">
        <v>85</v>
      </c>
      <c r="O248" s="3" t="b">
        <f>FALSE()</f>
        <v>0</v>
      </c>
      <c r="P248" s="3" t="s">
        <v>1172</v>
      </c>
    </row>
    <row r="249" customHeight="1" spans="1:16">
      <c r="A249" s="3" t="s">
        <v>585</v>
      </c>
      <c r="B249" s="3" t="s">
        <v>556</v>
      </c>
      <c r="C249" s="3">
        <v>232399</v>
      </c>
      <c r="D249" s="3">
        <v>50184</v>
      </c>
      <c r="E249" s="3">
        <v>1060000</v>
      </c>
      <c r="F249" s="3">
        <v>84</v>
      </c>
      <c r="G249" s="3">
        <v>10.13</v>
      </c>
      <c r="H249" s="3">
        <v>17668.5376149208</v>
      </c>
      <c r="I249" s="12">
        <v>29.1965703875321</v>
      </c>
      <c r="J249" s="3">
        <v>843</v>
      </c>
      <c r="K249" s="3" t="b">
        <f t="shared" si="18"/>
        <v>1</v>
      </c>
      <c r="L249" s="3" t="b">
        <f>TRUE()</f>
        <v>1</v>
      </c>
      <c r="M249" s="3" t="s">
        <v>1174</v>
      </c>
      <c r="N249" s="3" t="s">
        <v>85</v>
      </c>
      <c r="O249" s="3" t="b">
        <f>TRUE()</f>
        <v>1</v>
      </c>
      <c r="P249" s="3" t="s">
        <v>1175</v>
      </c>
    </row>
    <row r="250" customHeight="1" spans="1:16">
      <c r="A250" s="3" t="s">
        <v>586</v>
      </c>
      <c r="B250" s="3" t="s">
        <v>587</v>
      </c>
      <c r="C250" s="3">
        <v>24579</v>
      </c>
      <c r="D250" s="3">
        <v>0</v>
      </c>
      <c r="E250" s="3">
        <v>1380000</v>
      </c>
      <c r="F250" s="3">
        <v>240</v>
      </c>
      <c r="G250" s="3">
        <v>8.38</v>
      </c>
      <c r="H250" s="3">
        <v>11871.3569002275</v>
      </c>
      <c r="I250" s="12">
        <v>48.2987790399426</v>
      </c>
      <c r="J250" s="3">
        <v>712</v>
      </c>
      <c r="K250" s="3" t="b">
        <f t="shared" si="18"/>
        <v>1</v>
      </c>
      <c r="L250" s="3" t="b">
        <f>TRUE()</f>
        <v>1</v>
      </c>
      <c r="M250" s="3" t="s">
        <v>1174</v>
      </c>
      <c r="N250" s="3" t="s">
        <v>91</v>
      </c>
      <c r="O250" s="3" t="b">
        <f>FALSE()</f>
        <v>0</v>
      </c>
      <c r="P250" s="3" t="s">
        <v>1176</v>
      </c>
    </row>
    <row r="251" customHeight="1" spans="1:16">
      <c r="A251" s="3" t="s">
        <v>588</v>
      </c>
      <c r="B251" s="3" t="s">
        <v>589</v>
      </c>
      <c r="C251" s="3">
        <v>60025</v>
      </c>
      <c r="D251" s="3">
        <v>11204</v>
      </c>
      <c r="E251" s="3">
        <v>2290000</v>
      </c>
      <c r="F251" s="3">
        <v>240</v>
      </c>
      <c r="G251" s="3">
        <v>9.62</v>
      </c>
      <c r="H251" s="3">
        <v>21525.5717803338</v>
      </c>
      <c r="I251" s="12">
        <v>54.5265668976823</v>
      </c>
      <c r="J251" s="3">
        <v>733</v>
      </c>
      <c r="K251" s="3" t="b">
        <f>FALSE()</f>
        <v>0</v>
      </c>
      <c r="L251" s="3" t="b">
        <f>TRUE()</f>
        <v>1</v>
      </c>
      <c r="M251" s="3" t="s">
        <v>1171</v>
      </c>
      <c r="N251" s="3" t="s">
        <v>85</v>
      </c>
      <c r="O251" s="3" t="b">
        <f>FALSE()</f>
        <v>0</v>
      </c>
      <c r="P251" s="3" t="s">
        <v>1172</v>
      </c>
    </row>
    <row r="252" customHeight="1" spans="1:16">
      <c r="A252" s="3" t="s">
        <v>590</v>
      </c>
      <c r="B252" s="3" t="s">
        <v>591</v>
      </c>
      <c r="C252" s="3">
        <v>79116</v>
      </c>
      <c r="D252" s="3">
        <v>10752</v>
      </c>
      <c r="E252" s="3">
        <v>1680000</v>
      </c>
      <c r="F252" s="3">
        <v>60</v>
      </c>
      <c r="G252" s="3">
        <v>14.15</v>
      </c>
      <c r="H252" s="3">
        <v>39221.4304443763</v>
      </c>
      <c r="I252" s="12">
        <v>63.164758638425</v>
      </c>
      <c r="J252" s="3">
        <v>763</v>
      </c>
      <c r="K252" s="3" t="b">
        <f>FALSE()</f>
        <v>0</v>
      </c>
      <c r="L252" s="3" t="b">
        <f>TRUE()</f>
        <v>1</v>
      </c>
      <c r="M252" s="3" t="s">
        <v>1171</v>
      </c>
      <c r="N252" s="3" t="s">
        <v>85</v>
      </c>
      <c r="O252" s="3" t="b">
        <f>FALSE()</f>
        <v>0</v>
      </c>
      <c r="P252" s="3" t="s">
        <v>1172</v>
      </c>
    </row>
    <row r="253" customHeight="1" spans="1:16">
      <c r="A253" s="3" t="s">
        <v>592</v>
      </c>
      <c r="B253" s="3" t="s">
        <v>593</v>
      </c>
      <c r="C253" s="3">
        <v>25669</v>
      </c>
      <c r="D253" s="3">
        <v>6897</v>
      </c>
      <c r="E253" s="3">
        <v>580000</v>
      </c>
      <c r="F253" s="3">
        <v>60</v>
      </c>
      <c r="G253" s="3">
        <v>14.93</v>
      </c>
      <c r="H253" s="3">
        <v>13776.8571756494</v>
      </c>
      <c r="I253" s="12">
        <v>80.5401736555743</v>
      </c>
      <c r="J253" s="3">
        <v>794</v>
      </c>
      <c r="K253" s="3" t="b">
        <f>FALSE()</f>
        <v>0</v>
      </c>
      <c r="L253" s="3" t="b">
        <f>TRUE()</f>
        <v>1</v>
      </c>
      <c r="M253" s="3" t="s">
        <v>1171</v>
      </c>
      <c r="N253" s="3" t="s">
        <v>85</v>
      </c>
      <c r="O253" s="3" t="b">
        <f>FALSE()</f>
        <v>0</v>
      </c>
      <c r="P253" s="3" t="s">
        <v>1172</v>
      </c>
    </row>
    <row r="254" customHeight="1" spans="1:16">
      <c r="A254" s="3" t="s">
        <v>594</v>
      </c>
      <c r="B254" s="3" t="s">
        <v>466</v>
      </c>
      <c r="C254" s="3">
        <v>49518</v>
      </c>
      <c r="D254" s="3">
        <v>13137</v>
      </c>
      <c r="E254" s="3">
        <v>2290000</v>
      </c>
      <c r="F254" s="3">
        <v>240</v>
      </c>
      <c r="G254" s="3">
        <v>9.03</v>
      </c>
      <c r="H254" s="3">
        <v>20647.9285885811</v>
      </c>
      <c r="I254" s="12">
        <v>68.2275709612284</v>
      </c>
      <c r="J254" s="3">
        <v>654</v>
      </c>
      <c r="K254" s="3" t="b">
        <f>FALSE()</f>
        <v>0</v>
      </c>
      <c r="L254" s="3" t="b">
        <f>FALSE()</f>
        <v>0</v>
      </c>
      <c r="M254" s="3" t="s">
        <v>1171</v>
      </c>
      <c r="N254" s="3" t="s">
        <v>85</v>
      </c>
      <c r="O254" s="3" t="b">
        <f>FALSE()</f>
        <v>0</v>
      </c>
      <c r="P254" s="3" t="s">
        <v>1172</v>
      </c>
    </row>
    <row r="255" customHeight="1" spans="1:16">
      <c r="A255" s="3" t="s">
        <v>595</v>
      </c>
      <c r="B255" s="3" t="s">
        <v>596</v>
      </c>
      <c r="C255" s="3">
        <v>66003</v>
      </c>
      <c r="D255" s="3">
        <v>0</v>
      </c>
      <c r="E255" s="3">
        <v>240000</v>
      </c>
      <c r="F255" s="3">
        <v>48</v>
      </c>
      <c r="G255" s="3">
        <v>10.72</v>
      </c>
      <c r="H255" s="3">
        <v>6170.34165543196</v>
      </c>
      <c r="I255" s="12">
        <v>9.34857757288601</v>
      </c>
      <c r="J255" s="3">
        <v>751</v>
      </c>
      <c r="K255" s="3" t="b">
        <f>TRUE()</f>
        <v>1</v>
      </c>
      <c r="L255" s="3" t="b">
        <f>TRUE()</f>
        <v>1</v>
      </c>
      <c r="M255" s="3" t="s">
        <v>1174</v>
      </c>
      <c r="N255" s="3" t="s">
        <v>85</v>
      </c>
      <c r="O255" s="3" t="b">
        <f>TRUE()</f>
        <v>1</v>
      </c>
      <c r="P255" s="3" t="s">
        <v>1175</v>
      </c>
    </row>
    <row r="256" customHeight="1" spans="1:16">
      <c r="A256" s="3" t="s">
        <v>597</v>
      </c>
      <c r="B256" s="3" t="s">
        <v>598</v>
      </c>
      <c r="C256" s="3">
        <v>48459</v>
      </c>
      <c r="D256" s="3">
        <v>13681</v>
      </c>
      <c r="E256" s="3">
        <v>660000</v>
      </c>
      <c r="F256" s="3">
        <v>48</v>
      </c>
      <c r="G256" s="3">
        <v>11.64</v>
      </c>
      <c r="H256" s="3">
        <v>17263.9007494124</v>
      </c>
      <c r="I256" s="12">
        <v>63.857902039688</v>
      </c>
      <c r="J256" s="3">
        <v>666</v>
      </c>
      <c r="K256" s="3" t="b">
        <f>FALSE()</f>
        <v>0</v>
      </c>
      <c r="L256" s="3" t="b">
        <f>FALSE()</f>
        <v>0</v>
      </c>
      <c r="M256" s="3" t="s">
        <v>1171</v>
      </c>
      <c r="N256" s="3" t="s">
        <v>85</v>
      </c>
      <c r="O256" s="3" t="b">
        <f>FALSE()</f>
        <v>0</v>
      </c>
      <c r="P256" s="3" t="s">
        <v>1172</v>
      </c>
    </row>
    <row r="257" customHeight="1" spans="1:16">
      <c r="A257" s="3" t="s">
        <v>599</v>
      </c>
      <c r="B257" s="3" t="s">
        <v>600</v>
      </c>
      <c r="C257" s="3">
        <v>88030</v>
      </c>
      <c r="D257" s="3">
        <v>4975</v>
      </c>
      <c r="E257" s="3">
        <v>330000</v>
      </c>
      <c r="F257" s="3">
        <v>60</v>
      </c>
      <c r="G257" s="3">
        <v>10.23</v>
      </c>
      <c r="H257" s="3">
        <v>7048.92900854342</v>
      </c>
      <c r="I257" s="12">
        <v>13.658899248601</v>
      </c>
      <c r="J257" s="3">
        <v>712</v>
      </c>
      <c r="K257" s="3" t="b">
        <f>TRUE()</f>
        <v>1</v>
      </c>
      <c r="L257" s="3" t="b">
        <f>TRUE()</f>
        <v>1</v>
      </c>
      <c r="M257" s="3" t="s">
        <v>1174</v>
      </c>
      <c r="N257" s="3" t="s">
        <v>85</v>
      </c>
      <c r="O257" s="3" t="b">
        <f>TRUE()</f>
        <v>1</v>
      </c>
      <c r="P257" s="3" t="s">
        <v>1175</v>
      </c>
    </row>
    <row r="258" customHeight="1" spans="1:16">
      <c r="A258" s="3" t="s">
        <v>601</v>
      </c>
      <c r="B258" s="3" t="s">
        <v>330</v>
      </c>
      <c r="C258" s="3">
        <v>75026</v>
      </c>
      <c r="D258" s="3">
        <v>14375</v>
      </c>
      <c r="E258" s="3">
        <v>830000</v>
      </c>
      <c r="F258" s="3">
        <v>84</v>
      </c>
      <c r="G258" s="3">
        <v>11.16</v>
      </c>
      <c r="H258" s="3">
        <v>14281.543460825</v>
      </c>
      <c r="I258" s="12">
        <v>38.1954835134819</v>
      </c>
      <c r="J258" s="3">
        <v>659</v>
      </c>
      <c r="K258" s="3" t="b">
        <f>TRUE()</f>
        <v>1</v>
      </c>
      <c r="L258" s="3" t="b">
        <f>FALSE()</f>
        <v>0</v>
      </c>
      <c r="M258" s="3" t="s">
        <v>1171</v>
      </c>
      <c r="N258" s="3" t="s">
        <v>85</v>
      </c>
      <c r="O258" s="3" t="b">
        <f>FALSE()</f>
        <v>0</v>
      </c>
      <c r="P258" s="3" t="s">
        <v>1172</v>
      </c>
    </row>
    <row r="259" customHeight="1" spans="1:16">
      <c r="A259" s="3" t="s">
        <v>602</v>
      </c>
      <c r="B259" s="3" t="s">
        <v>603</v>
      </c>
      <c r="C259" s="3">
        <v>41053</v>
      </c>
      <c r="D259" s="3">
        <v>0</v>
      </c>
      <c r="E259" s="3">
        <v>350000</v>
      </c>
      <c r="F259" s="3">
        <v>60</v>
      </c>
      <c r="G259" s="3">
        <v>10.03</v>
      </c>
      <c r="H259" s="3">
        <v>7441.63313064418</v>
      </c>
      <c r="I259" s="12">
        <v>18.1268923845862</v>
      </c>
      <c r="J259" s="3">
        <v>784</v>
      </c>
      <c r="K259" s="3" t="b">
        <f>TRUE()</f>
        <v>1</v>
      </c>
      <c r="L259" s="3" t="b">
        <f>TRUE()</f>
        <v>1</v>
      </c>
      <c r="M259" s="3" t="s">
        <v>1174</v>
      </c>
      <c r="N259" s="3" t="s">
        <v>85</v>
      </c>
      <c r="O259" s="3" t="b">
        <f>TRUE()</f>
        <v>1</v>
      </c>
      <c r="P259" s="3" t="s">
        <v>1175</v>
      </c>
    </row>
    <row r="260" customHeight="1" spans="1:16">
      <c r="A260" s="3" t="s">
        <v>604</v>
      </c>
      <c r="B260" s="3" t="s">
        <v>605</v>
      </c>
      <c r="C260" s="3">
        <v>42927</v>
      </c>
      <c r="D260" s="3">
        <v>14996</v>
      </c>
      <c r="E260" s="3">
        <v>920000</v>
      </c>
      <c r="F260" s="3">
        <v>60</v>
      </c>
      <c r="G260" s="3">
        <v>9.43</v>
      </c>
      <c r="H260" s="3">
        <v>19290.2558205642</v>
      </c>
      <c r="I260" s="12">
        <v>79.8710737311347</v>
      </c>
      <c r="J260" s="3">
        <v>640</v>
      </c>
      <c r="K260" s="3" t="b">
        <f>FALSE()</f>
        <v>0</v>
      </c>
      <c r="L260" s="3" t="b">
        <f>FALSE()</f>
        <v>0</v>
      </c>
      <c r="M260" s="3" t="s">
        <v>1171</v>
      </c>
      <c r="N260" s="3" t="s">
        <v>85</v>
      </c>
      <c r="O260" s="3" t="b">
        <f>FALSE()</f>
        <v>0</v>
      </c>
      <c r="P260" s="3" t="s">
        <v>1172</v>
      </c>
    </row>
    <row r="261" customHeight="1" spans="1:16">
      <c r="A261" s="3" t="s">
        <v>606</v>
      </c>
      <c r="B261" s="3" t="s">
        <v>607</v>
      </c>
      <c r="C261" s="3">
        <v>28490</v>
      </c>
      <c r="D261" s="3">
        <v>11358</v>
      </c>
      <c r="E261" s="3">
        <v>660000</v>
      </c>
      <c r="F261" s="3">
        <v>60</v>
      </c>
      <c r="G261" s="3">
        <v>9.45</v>
      </c>
      <c r="H261" s="3">
        <v>13845.1071925983</v>
      </c>
      <c r="I261" s="12">
        <v>88.4629947090148</v>
      </c>
      <c r="J261" s="3">
        <v>678</v>
      </c>
      <c r="K261" s="3" t="b">
        <f>FALSE()</f>
        <v>0</v>
      </c>
      <c r="L261" s="3" t="b">
        <f>FALSE()</f>
        <v>0</v>
      </c>
      <c r="M261" s="3" t="s">
        <v>1171</v>
      </c>
      <c r="N261" s="3" t="s">
        <v>85</v>
      </c>
      <c r="O261" s="3" t="b">
        <f>FALSE()</f>
        <v>0</v>
      </c>
      <c r="P261" s="3" t="s">
        <v>1172</v>
      </c>
    </row>
    <row r="262" customHeight="1" spans="1:16">
      <c r="A262" s="3" t="s">
        <v>608</v>
      </c>
      <c r="B262" s="3" t="s">
        <v>609</v>
      </c>
      <c r="C262" s="3">
        <v>71266</v>
      </c>
      <c r="D262" s="3">
        <v>22488</v>
      </c>
      <c r="E262" s="3">
        <v>2920000</v>
      </c>
      <c r="F262" s="3">
        <v>240</v>
      </c>
      <c r="G262" s="3">
        <v>9.41</v>
      </c>
      <c r="H262" s="3">
        <v>27046.8484206092</v>
      </c>
      <c r="I262" s="12">
        <v>69.5069856882794</v>
      </c>
      <c r="J262" s="3">
        <v>771</v>
      </c>
      <c r="K262" s="3" t="b">
        <f>FALSE()</f>
        <v>0</v>
      </c>
      <c r="L262" s="3" t="b">
        <f>TRUE()</f>
        <v>1</v>
      </c>
      <c r="M262" s="3" t="s">
        <v>1171</v>
      </c>
      <c r="N262" s="3" t="s">
        <v>85</v>
      </c>
      <c r="O262" s="3" t="b">
        <f>FALSE()</f>
        <v>0</v>
      </c>
      <c r="P262" s="3" t="s">
        <v>1172</v>
      </c>
    </row>
    <row r="263" customHeight="1" spans="1:16">
      <c r="A263" s="3" t="s">
        <v>610</v>
      </c>
      <c r="B263" s="3" t="s">
        <v>611</v>
      </c>
      <c r="C263" s="3">
        <v>46336</v>
      </c>
      <c r="D263" s="3">
        <v>0</v>
      </c>
      <c r="E263" s="3">
        <v>370000</v>
      </c>
      <c r="F263" s="3">
        <v>60</v>
      </c>
      <c r="G263" s="3">
        <v>10.27</v>
      </c>
      <c r="H263" s="3">
        <v>7910.65158010008</v>
      </c>
      <c r="I263" s="12">
        <v>17.0723661518044</v>
      </c>
      <c r="J263" s="3">
        <v>731</v>
      </c>
      <c r="K263" s="3" t="b">
        <f>TRUE()</f>
        <v>1</v>
      </c>
      <c r="L263" s="3" t="b">
        <f>TRUE()</f>
        <v>1</v>
      </c>
      <c r="M263" s="3" t="s">
        <v>1174</v>
      </c>
      <c r="N263" s="3" t="s">
        <v>85</v>
      </c>
      <c r="O263" s="3" t="b">
        <f>TRUE()</f>
        <v>1</v>
      </c>
      <c r="P263" s="3" t="s">
        <v>1175</v>
      </c>
    </row>
    <row r="264" customHeight="1" spans="1:16">
      <c r="A264" s="3" t="s">
        <v>612</v>
      </c>
      <c r="B264" s="3" t="s">
        <v>613</v>
      </c>
      <c r="C264" s="3">
        <v>48455</v>
      </c>
      <c r="D264" s="3">
        <v>0</v>
      </c>
      <c r="E264" s="3">
        <v>480000</v>
      </c>
      <c r="F264" s="3">
        <v>60</v>
      </c>
      <c r="G264" s="3">
        <v>10.22</v>
      </c>
      <c r="H264" s="3">
        <v>10250.6186338057</v>
      </c>
      <c r="I264" s="12">
        <v>21.1549244325781</v>
      </c>
      <c r="J264" s="3">
        <v>716</v>
      </c>
      <c r="K264" s="3" t="b">
        <f>TRUE()</f>
        <v>1</v>
      </c>
      <c r="L264" s="3" t="b">
        <f>TRUE()</f>
        <v>1</v>
      </c>
      <c r="M264" s="3" t="s">
        <v>1174</v>
      </c>
      <c r="N264" s="3" t="s">
        <v>85</v>
      </c>
      <c r="O264" s="3" t="b">
        <f>TRUE()</f>
        <v>1</v>
      </c>
      <c r="P264" s="3" t="s">
        <v>1175</v>
      </c>
    </row>
    <row r="265" customHeight="1" spans="1:16">
      <c r="A265" s="3" t="s">
        <v>614</v>
      </c>
      <c r="B265" s="3" t="s">
        <v>615</v>
      </c>
      <c r="C265" s="3">
        <v>116492</v>
      </c>
      <c r="D265" s="3">
        <v>23829</v>
      </c>
      <c r="E265" s="3">
        <v>940000</v>
      </c>
      <c r="F265" s="3">
        <v>60</v>
      </c>
      <c r="G265" s="3">
        <v>9.68</v>
      </c>
      <c r="H265" s="3">
        <v>19824.5383050924</v>
      </c>
      <c r="I265" s="12">
        <v>37.4734216127223</v>
      </c>
      <c r="J265" s="3">
        <v>764</v>
      </c>
      <c r="K265" s="3" t="b">
        <f>TRUE()</f>
        <v>1</v>
      </c>
      <c r="L265" s="3" t="b">
        <f>TRUE()</f>
        <v>1</v>
      </c>
      <c r="M265" s="3" t="s">
        <v>1174</v>
      </c>
      <c r="N265" s="3" t="s">
        <v>85</v>
      </c>
      <c r="O265" s="3" t="b">
        <f>TRUE()</f>
        <v>1</v>
      </c>
      <c r="P265" s="3" t="s">
        <v>1175</v>
      </c>
    </row>
    <row r="266" customHeight="1" spans="1:16">
      <c r="A266" s="3" t="s">
        <v>616</v>
      </c>
      <c r="B266" s="3" t="s">
        <v>617</v>
      </c>
      <c r="C266" s="3">
        <v>130160</v>
      </c>
      <c r="D266" s="3">
        <v>16698</v>
      </c>
      <c r="E266" s="3">
        <v>460000</v>
      </c>
      <c r="F266" s="3">
        <v>48</v>
      </c>
      <c r="G266" s="3">
        <v>11.84</v>
      </c>
      <c r="H266" s="3">
        <v>12077.4588496933</v>
      </c>
      <c r="I266" s="12">
        <v>22.1077587966298</v>
      </c>
      <c r="J266" s="3">
        <v>699</v>
      </c>
      <c r="K266" s="3" t="b">
        <f>TRUE()</f>
        <v>1</v>
      </c>
      <c r="L266" s="3" t="b">
        <f>FALSE()</f>
        <v>0</v>
      </c>
      <c r="M266" s="3" t="s">
        <v>1171</v>
      </c>
      <c r="N266" s="3" t="s">
        <v>85</v>
      </c>
      <c r="O266" s="3" t="b">
        <f>FALSE()</f>
        <v>0</v>
      </c>
      <c r="P266" s="3" t="s">
        <v>1172</v>
      </c>
    </row>
    <row r="267" customHeight="1" spans="1:16">
      <c r="A267" s="3" t="s">
        <v>618</v>
      </c>
      <c r="B267" s="3" t="s">
        <v>619</v>
      </c>
      <c r="C267" s="3">
        <v>58901</v>
      </c>
      <c r="D267" s="3">
        <v>0</v>
      </c>
      <c r="E267" s="3">
        <v>1020000</v>
      </c>
      <c r="F267" s="3">
        <v>60</v>
      </c>
      <c r="G267" s="3">
        <v>13.93</v>
      </c>
      <c r="H267" s="3">
        <v>23696.6156977479</v>
      </c>
      <c r="I267" s="12">
        <v>40.2312621139673</v>
      </c>
      <c r="J267" s="3">
        <v>731</v>
      </c>
      <c r="K267" s="3" t="b">
        <f>TRUE()</f>
        <v>1</v>
      </c>
      <c r="L267" s="3" t="b">
        <f>TRUE()</f>
        <v>1</v>
      </c>
      <c r="M267" s="3" t="s">
        <v>1174</v>
      </c>
      <c r="N267" s="3" t="s">
        <v>91</v>
      </c>
      <c r="O267" s="3" t="b">
        <f>FALSE()</f>
        <v>0</v>
      </c>
      <c r="P267" s="3" t="s">
        <v>1176</v>
      </c>
    </row>
    <row r="268" customHeight="1" spans="1:16">
      <c r="A268" s="3" t="s">
        <v>620</v>
      </c>
      <c r="B268" s="3" t="s">
        <v>621</v>
      </c>
      <c r="C268" s="3">
        <v>38686</v>
      </c>
      <c r="D268" s="3">
        <v>13214</v>
      </c>
      <c r="E268" s="3">
        <v>1050000</v>
      </c>
      <c r="F268" s="3">
        <v>84</v>
      </c>
      <c r="G268" s="3">
        <v>11.58</v>
      </c>
      <c r="H268" s="3">
        <v>18300.3593382538</v>
      </c>
      <c r="I268" s="12">
        <v>81.4619224997512</v>
      </c>
      <c r="J268" s="3">
        <v>655</v>
      </c>
      <c r="K268" s="3" t="b">
        <f>FALSE()</f>
        <v>0</v>
      </c>
      <c r="L268" s="3" t="b">
        <f>FALSE()</f>
        <v>0</v>
      </c>
      <c r="M268" s="3" t="s">
        <v>1171</v>
      </c>
      <c r="N268" s="3" t="s">
        <v>91</v>
      </c>
      <c r="O268" s="3" t="b">
        <f>TRUE()</f>
        <v>1</v>
      </c>
      <c r="P268" s="3" t="s">
        <v>1173</v>
      </c>
    </row>
    <row r="269" customHeight="1" spans="1:16">
      <c r="A269" s="3" t="s">
        <v>622</v>
      </c>
      <c r="B269" s="3" t="s">
        <v>492</v>
      </c>
      <c r="C269" s="3">
        <v>58763</v>
      </c>
      <c r="D269" s="3">
        <v>2752</v>
      </c>
      <c r="E269" s="3">
        <v>1380000</v>
      </c>
      <c r="F269" s="3">
        <v>84</v>
      </c>
      <c r="G269" s="3">
        <v>10.43</v>
      </c>
      <c r="H269" s="3">
        <v>23217.4063135516</v>
      </c>
      <c r="I269" s="12">
        <v>44.1934658093555</v>
      </c>
      <c r="J269" s="3">
        <v>719</v>
      </c>
      <c r="K269" s="3" t="b">
        <f>TRUE()</f>
        <v>1</v>
      </c>
      <c r="L269" s="3" t="b">
        <f>TRUE()</f>
        <v>1</v>
      </c>
      <c r="M269" s="3" t="s">
        <v>1174</v>
      </c>
      <c r="N269" s="3" t="s">
        <v>85</v>
      </c>
      <c r="O269" s="3" t="b">
        <f>TRUE()</f>
        <v>1</v>
      </c>
      <c r="P269" s="3" t="s">
        <v>1175</v>
      </c>
    </row>
    <row r="270" customHeight="1" spans="1:16">
      <c r="A270" s="3" t="s">
        <v>623</v>
      </c>
      <c r="B270" s="3" t="s">
        <v>624</v>
      </c>
      <c r="C270" s="3">
        <v>42446</v>
      </c>
      <c r="D270" s="3">
        <v>9728</v>
      </c>
      <c r="E270" s="3">
        <v>760000</v>
      </c>
      <c r="F270" s="3">
        <v>60</v>
      </c>
      <c r="G270" s="3">
        <v>15.15</v>
      </c>
      <c r="H270" s="3">
        <v>18140.2419733205</v>
      </c>
      <c r="I270" s="12">
        <v>65.6557554853708</v>
      </c>
      <c r="J270" s="3">
        <v>604</v>
      </c>
      <c r="K270" s="3" t="b">
        <f>FALSE()</f>
        <v>0</v>
      </c>
      <c r="L270" s="3" t="b">
        <f>FALSE()</f>
        <v>0</v>
      </c>
      <c r="M270" s="3" t="s">
        <v>1171</v>
      </c>
      <c r="N270" s="3" t="s">
        <v>85</v>
      </c>
      <c r="O270" s="3" t="b">
        <f>FALSE()</f>
        <v>0</v>
      </c>
      <c r="P270" s="3" t="s">
        <v>1172</v>
      </c>
    </row>
    <row r="271" customHeight="1" spans="1:16">
      <c r="A271" s="3" t="s">
        <v>625</v>
      </c>
      <c r="B271" s="3" t="s">
        <v>626</v>
      </c>
      <c r="C271" s="3">
        <v>32275</v>
      </c>
      <c r="D271" s="3">
        <v>7800</v>
      </c>
      <c r="E271" s="3">
        <v>1440000</v>
      </c>
      <c r="F271" s="3">
        <v>84</v>
      </c>
      <c r="G271" s="3">
        <v>11.38</v>
      </c>
      <c r="H271" s="3">
        <v>24944.9608382262</v>
      </c>
      <c r="I271" s="12">
        <v>101.456114138578</v>
      </c>
      <c r="J271" s="3">
        <v>665</v>
      </c>
      <c r="K271" s="3" t="b">
        <f>FALSE()</f>
        <v>0</v>
      </c>
      <c r="L271" s="3" t="b">
        <f>FALSE()</f>
        <v>0</v>
      </c>
      <c r="M271" s="3" t="s">
        <v>1171</v>
      </c>
      <c r="N271" s="3" t="s">
        <v>85</v>
      </c>
      <c r="O271" s="3" t="b">
        <f>FALSE()</f>
        <v>0</v>
      </c>
      <c r="P271" s="3" t="s">
        <v>1172</v>
      </c>
    </row>
    <row r="272" customHeight="1" spans="1:16">
      <c r="A272" s="3" t="s">
        <v>627</v>
      </c>
      <c r="B272" s="3" t="s">
        <v>628</v>
      </c>
      <c r="C272" s="3">
        <v>72644</v>
      </c>
      <c r="D272" s="3">
        <v>0</v>
      </c>
      <c r="E272" s="3">
        <v>430000</v>
      </c>
      <c r="F272" s="3">
        <v>36</v>
      </c>
      <c r="G272" s="3">
        <v>14.38</v>
      </c>
      <c r="H272" s="3">
        <v>14775.8674401506</v>
      </c>
      <c r="I272" s="12">
        <v>20.3401071528971</v>
      </c>
      <c r="J272" s="3">
        <v>681</v>
      </c>
      <c r="K272" s="3" t="b">
        <f>TRUE()</f>
        <v>1</v>
      </c>
      <c r="L272" s="3" t="b">
        <f>FALSE()</f>
        <v>0</v>
      </c>
      <c r="M272" s="3" t="s">
        <v>1171</v>
      </c>
      <c r="N272" s="3" t="s">
        <v>85</v>
      </c>
      <c r="O272" s="3" t="b">
        <f>FALSE()</f>
        <v>0</v>
      </c>
      <c r="P272" s="3" t="s">
        <v>1172</v>
      </c>
    </row>
    <row r="273" customHeight="1" spans="1:16">
      <c r="A273" s="3" t="s">
        <v>629</v>
      </c>
      <c r="B273" s="3" t="s">
        <v>630</v>
      </c>
      <c r="C273" s="3">
        <v>29173</v>
      </c>
      <c r="D273" s="3">
        <v>2892</v>
      </c>
      <c r="E273" s="3">
        <v>1190000</v>
      </c>
      <c r="F273" s="3">
        <v>60</v>
      </c>
      <c r="G273" s="3">
        <v>14.01</v>
      </c>
      <c r="H273" s="3">
        <v>27695.388300826</v>
      </c>
      <c r="I273" s="12">
        <v>104.848278548062</v>
      </c>
      <c r="J273" s="3">
        <v>719</v>
      </c>
      <c r="K273" s="3" t="b">
        <f>FALSE()</f>
        <v>0</v>
      </c>
      <c r="L273" s="3" t="b">
        <f>TRUE()</f>
        <v>1</v>
      </c>
      <c r="M273" s="3" t="s">
        <v>1171</v>
      </c>
      <c r="N273" s="3" t="s">
        <v>85</v>
      </c>
      <c r="O273" s="3" t="b">
        <f>FALSE()</f>
        <v>0</v>
      </c>
      <c r="P273" s="3" t="s">
        <v>1172</v>
      </c>
    </row>
    <row r="274" customHeight="1" spans="1:16">
      <c r="A274" s="3" t="s">
        <v>631</v>
      </c>
      <c r="B274" s="3" t="s">
        <v>632</v>
      </c>
      <c r="C274" s="3">
        <v>77644</v>
      </c>
      <c r="D274" s="3">
        <v>0</v>
      </c>
      <c r="E274" s="3">
        <v>610000</v>
      </c>
      <c r="F274" s="3">
        <v>60</v>
      </c>
      <c r="G274" s="3">
        <v>14.27</v>
      </c>
      <c r="H274" s="3">
        <v>14279.1640882389</v>
      </c>
      <c r="I274" s="12">
        <v>18.3905570143719</v>
      </c>
      <c r="J274" s="3">
        <v>640</v>
      </c>
      <c r="K274" s="3" t="b">
        <f>TRUE()</f>
        <v>1</v>
      </c>
      <c r="L274" s="3" t="b">
        <f>FALSE()</f>
        <v>0</v>
      </c>
      <c r="M274" s="3" t="s">
        <v>1171</v>
      </c>
      <c r="N274" s="3" t="s">
        <v>85</v>
      </c>
      <c r="O274" s="3" t="b">
        <f>FALSE()</f>
        <v>0</v>
      </c>
      <c r="P274" s="3" t="s">
        <v>1172</v>
      </c>
    </row>
    <row r="275" customHeight="1" spans="1:16">
      <c r="A275" s="3" t="s">
        <v>633</v>
      </c>
      <c r="B275" s="3" t="s">
        <v>634</v>
      </c>
      <c r="C275" s="3">
        <v>95702</v>
      </c>
      <c r="D275" s="3">
        <v>0</v>
      </c>
      <c r="E275" s="3">
        <v>440000</v>
      </c>
      <c r="F275" s="3">
        <v>60</v>
      </c>
      <c r="G275" s="3">
        <v>10.24</v>
      </c>
      <c r="H275" s="3">
        <v>9400.74390236174</v>
      </c>
      <c r="I275" s="12">
        <v>9.82293358797281</v>
      </c>
      <c r="J275" s="3">
        <v>713</v>
      </c>
      <c r="K275" s="3" t="b">
        <f>TRUE()</f>
        <v>1</v>
      </c>
      <c r="L275" s="3" t="b">
        <f>TRUE()</f>
        <v>1</v>
      </c>
      <c r="M275" s="3" t="s">
        <v>1174</v>
      </c>
      <c r="N275" s="3" t="s">
        <v>85</v>
      </c>
      <c r="O275" s="3" t="b">
        <f>TRUE()</f>
        <v>1</v>
      </c>
      <c r="P275" s="3" t="s">
        <v>1175</v>
      </c>
    </row>
    <row r="276" customHeight="1" spans="1:16">
      <c r="A276" s="3" t="s">
        <v>635</v>
      </c>
      <c r="B276" s="3" t="s">
        <v>636</v>
      </c>
      <c r="C276" s="3">
        <v>119932</v>
      </c>
      <c r="D276" s="3">
        <v>0</v>
      </c>
      <c r="E276" s="3">
        <v>750000</v>
      </c>
      <c r="F276" s="3">
        <v>48</v>
      </c>
      <c r="G276" s="3">
        <v>11.2</v>
      </c>
      <c r="H276" s="3">
        <v>19457.0670707084</v>
      </c>
      <c r="I276" s="12">
        <v>16.2234158278928</v>
      </c>
      <c r="J276" s="3">
        <v>635</v>
      </c>
      <c r="K276" s="3" t="b">
        <f>TRUE()</f>
        <v>1</v>
      </c>
      <c r="L276" s="3" t="b">
        <f>FALSE()</f>
        <v>0</v>
      </c>
      <c r="M276" s="3" t="s">
        <v>1171</v>
      </c>
      <c r="N276" s="3" t="s">
        <v>85</v>
      </c>
      <c r="O276" s="3" t="b">
        <f>FALSE()</f>
        <v>0</v>
      </c>
      <c r="P276" s="3" t="s">
        <v>1172</v>
      </c>
    </row>
    <row r="277" customHeight="1" spans="1:16">
      <c r="A277" s="3" t="s">
        <v>637</v>
      </c>
      <c r="B277" s="3" t="s">
        <v>638</v>
      </c>
      <c r="C277" s="3">
        <v>48512</v>
      </c>
      <c r="D277" s="3">
        <v>14678</v>
      </c>
      <c r="E277" s="3">
        <v>520000</v>
      </c>
      <c r="F277" s="3">
        <v>48</v>
      </c>
      <c r="G277" s="3">
        <v>11.75</v>
      </c>
      <c r="H277" s="3">
        <v>13629.8525187991</v>
      </c>
      <c r="I277" s="12">
        <v>58.3522685496353</v>
      </c>
      <c r="J277" s="3">
        <v>612</v>
      </c>
      <c r="K277" s="3" t="b">
        <f>FALSE()</f>
        <v>0</v>
      </c>
      <c r="L277" s="3" t="b">
        <f>FALSE()</f>
        <v>0</v>
      </c>
      <c r="M277" s="3" t="s">
        <v>1171</v>
      </c>
      <c r="N277" s="3" t="s">
        <v>85</v>
      </c>
      <c r="O277" s="3" t="b">
        <f>FALSE()</f>
        <v>0</v>
      </c>
      <c r="P277" s="3" t="s">
        <v>1172</v>
      </c>
    </row>
    <row r="278" customHeight="1" spans="1:16">
      <c r="A278" s="3" t="s">
        <v>639</v>
      </c>
      <c r="B278" s="3" t="s">
        <v>640</v>
      </c>
      <c r="C278" s="3">
        <v>44936</v>
      </c>
      <c r="D278" s="3">
        <v>0</v>
      </c>
      <c r="E278" s="3">
        <v>250000</v>
      </c>
      <c r="F278" s="3">
        <v>36</v>
      </c>
      <c r="G278" s="3">
        <v>13.14</v>
      </c>
      <c r="H278" s="3">
        <v>8440.35606864057</v>
      </c>
      <c r="I278" s="12">
        <v>18.7830605052532</v>
      </c>
      <c r="J278" s="3">
        <v>667</v>
      </c>
      <c r="K278" s="3" t="b">
        <f>TRUE()</f>
        <v>1</v>
      </c>
      <c r="L278" s="3" t="b">
        <f>FALSE()</f>
        <v>0</v>
      </c>
      <c r="M278" s="3" t="s">
        <v>1171</v>
      </c>
      <c r="N278" s="3" t="s">
        <v>85</v>
      </c>
      <c r="O278" s="3" t="b">
        <f>FALSE()</f>
        <v>0</v>
      </c>
      <c r="P278" s="3" t="s">
        <v>1172</v>
      </c>
    </row>
    <row r="279" customHeight="1" spans="1:16">
      <c r="A279" s="3" t="s">
        <v>641</v>
      </c>
      <c r="B279" s="3" t="s">
        <v>642</v>
      </c>
      <c r="C279" s="3">
        <v>92159</v>
      </c>
      <c r="D279" s="3">
        <v>0</v>
      </c>
      <c r="E279" s="3">
        <v>990000</v>
      </c>
      <c r="F279" s="3">
        <v>84</v>
      </c>
      <c r="G279" s="3">
        <v>11.35</v>
      </c>
      <c r="H279" s="3">
        <v>17133.9467156452</v>
      </c>
      <c r="I279" s="12">
        <v>18.5917237769998</v>
      </c>
      <c r="J279" s="3">
        <v>763</v>
      </c>
      <c r="K279" s="3" t="b">
        <f>TRUE()</f>
        <v>1</v>
      </c>
      <c r="L279" s="3" t="b">
        <f>TRUE()</f>
        <v>1</v>
      </c>
      <c r="M279" s="3" t="s">
        <v>1174</v>
      </c>
      <c r="N279" s="3" t="s">
        <v>85</v>
      </c>
      <c r="O279" s="3" t="b">
        <f>TRUE()</f>
        <v>1</v>
      </c>
      <c r="P279" s="3" t="s">
        <v>1175</v>
      </c>
    </row>
    <row r="280" customHeight="1" spans="1:16">
      <c r="A280" s="3" t="s">
        <v>643</v>
      </c>
      <c r="B280" s="3" t="s">
        <v>294</v>
      </c>
      <c r="C280" s="3">
        <v>63564</v>
      </c>
      <c r="D280" s="3">
        <v>26676</v>
      </c>
      <c r="E280" s="3">
        <v>490000</v>
      </c>
      <c r="F280" s="3">
        <v>84</v>
      </c>
      <c r="G280" s="3">
        <v>10.24</v>
      </c>
      <c r="H280" s="3">
        <v>8195.47254891002</v>
      </c>
      <c r="I280" s="12">
        <v>54.8604124172645</v>
      </c>
      <c r="J280" s="3">
        <v>750</v>
      </c>
      <c r="K280" s="3" t="b">
        <f>FALSE()</f>
        <v>0</v>
      </c>
      <c r="L280" s="3" t="b">
        <f>TRUE()</f>
        <v>1</v>
      </c>
      <c r="M280" s="3" t="s">
        <v>1171</v>
      </c>
      <c r="N280" s="3" t="s">
        <v>85</v>
      </c>
      <c r="O280" s="3" t="b">
        <f>FALSE()</f>
        <v>0</v>
      </c>
      <c r="P280" s="3" t="s">
        <v>1172</v>
      </c>
    </row>
    <row r="281" customHeight="1" spans="1:16">
      <c r="A281" s="3" t="s">
        <v>644</v>
      </c>
      <c r="B281" s="3" t="s">
        <v>645</v>
      </c>
      <c r="C281" s="3">
        <v>51358</v>
      </c>
      <c r="D281" s="3">
        <v>9757</v>
      </c>
      <c r="E281" s="3">
        <v>1510000</v>
      </c>
      <c r="F281" s="3">
        <v>60</v>
      </c>
      <c r="G281" s="3">
        <v>13.89</v>
      </c>
      <c r="H281" s="3">
        <v>35049.0057695</v>
      </c>
      <c r="I281" s="12">
        <v>87.2425051004713</v>
      </c>
      <c r="J281" s="3">
        <v>759</v>
      </c>
      <c r="K281" s="3" t="b">
        <f>FALSE()</f>
        <v>0</v>
      </c>
      <c r="L281" s="3" t="b">
        <f>TRUE()</f>
        <v>1</v>
      </c>
      <c r="M281" s="3" t="s">
        <v>1171</v>
      </c>
      <c r="N281" s="3" t="s">
        <v>85</v>
      </c>
      <c r="O281" s="3" t="b">
        <f>FALSE()</f>
        <v>0</v>
      </c>
      <c r="P281" s="3" t="s">
        <v>1172</v>
      </c>
    </row>
    <row r="282" customHeight="1" spans="1:16">
      <c r="A282" s="3" t="s">
        <v>646</v>
      </c>
      <c r="B282" s="3" t="s">
        <v>476</v>
      </c>
      <c r="C282" s="3">
        <v>80084</v>
      </c>
      <c r="D282" s="3">
        <v>15957</v>
      </c>
      <c r="E282" s="3">
        <v>800000</v>
      </c>
      <c r="F282" s="3">
        <v>60</v>
      </c>
      <c r="G282" s="3">
        <v>9.9</v>
      </c>
      <c r="H282" s="3">
        <v>16958.2992682931</v>
      </c>
      <c r="I282" s="12">
        <v>41.100968068894</v>
      </c>
      <c r="J282" s="3">
        <v>673</v>
      </c>
      <c r="K282" s="3" t="b">
        <f>TRUE()</f>
        <v>1</v>
      </c>
      <c r="L282" s="3" t="b">
        <f>FALSE()</f>
        <v>0</v>
      </c>
      <c r="M282" s="3" t="s">
        <v>1171</v>
      </c>
      <c r="N282" s="3" t="s">
        <v>85</v>
      </c>
      <c r="O282" s="3" t="b">
        <f>FALSE()</f>
        <v>0</v>
      </c>
      <c r="P282" s="3" t="s">
        <v>1172</v>
      </c>
    </row>
    <row r="283" customHeight="1" spans="1:16">
      <c r="A283" s="3" t="s">
        <v>647</v>
      </c>
      <c r="B283" s="3" t="s">
        <v>648</v>
      </c>
      <c r="C283" s="3">
        <v>66619</v>
      </c>
      <c r="D283" s="3">
        <v>20446</v>
      </c>
      <c r="E283" s="3">
        <v>910000</v>
      </c>
      <c r="F283" s="3">
        <v>60</v>
      </c>
      <c r="G283" s="3">
        <v>10.43</v>
      </c>
      <c r="H283" s="3">
        <v>19527.9084982124</v>
      </c>
      <c r="I283" s="12">
        <v>60.003765439608</v>
      </c>
      <c r="J283" s="3">
        <v>739</v>
      </c>
      <c r="K283" s="3" t="b">
        <f>FALSE()</f>
        <v>0</v>
      </c>
      <c r="L283" s="3" t="b">
        <f>TRUE()</f>
        <v>1</v>
      </c>
      <c r="M283" s="3" t="s">
        <v>1171</v>
      </c>
      <c r="N283" s="3" t="s">
        <v>85</v>
      </c>
      <c r="O283" s="3" t="b">
        <f>FALSE()</f>
        <v>0</v>
      </c>
      <c r="P283" s="3" t="s">
        <v>1172</v>
      </c>
    </row>
    <row r="284" customHeight="1" spans="1:16">
      <c r="A284" s="3" t="s">
        <v>649</v>
      </c>
      <c r="B284" s="3" t="s">
        <v>650</v>
      </c>
      <c r="C284" s="3">
        <v>18659</v>
      </c>
      <c r="D284" s="3">
        <v>0</v>
      </c>
      <c r="E284" s="3">
        <v>420000</v>
      </c>
      <c r="F284" s="3">
        <v>36</v>
      </c>
      <c r="G284" s="3">
        <v>13.83</v>
      </c>
      <c r="H284" s="3">
        <v>14319.9505889126</v>
      </c>
      <c r="I284" s="12">
        <v>76.7455415022918</v>
      </c>
      <c r="J284" s="3">
        <v>681</v>
      </c>
      <c r="K284" s="3" t="b">
        <f>FALSE()</f>
        <v>0</v>
      </c>
      <c r="L284" s="3" t="b">
        <f>FALSE()</f>
        <v>0</v>
      </c>
      <c r="M284" s="3" t="s">
        <v>1171</v>
      </c>
      <c r="N284" s="3" t="s">
        <v>85</v>
      </c>
      <c r="O284" s="3" t="b">
        <f>FALSE()</f>
        <v>0</v>
      </c>
      <c r="P284" s="3" t="s">
        <v>1172</v>
      </c>
    </row>
    <row r="285" customHeight="1" spans="1:16">
      <c r="A285" s="3" t="s">
        <v>651</v>
      </c>
      <c r="B285" s="3" t="s">
        <v>652</v>
      </c>
      <c r="C285" s="3">
        <v>87525</v>
      </c>
      <c r="D285" s="3">
        <v>11175</v>
      </c>
      <c r="E285" s="3">
        <v>3340000</v>
      </c>
      <c r="F285" s="3">
        <v>240</v>
      </c>
      <c r="G285" s="3">
        <v>9.26</v>
      </c>
      <c r="H285" s="3">
        <v>30611.6027251359</v>
      </c>
      <c r="I285" s="12">
        <v>47.7424766925289</v>
      </c>
      <c r="J285" s="3">
        <v>702</v>
      </c>
      <c r="K285" s="3" t="b">
        <f>TRUE()</f>
        <v>1</v>
      </c>
      <c r="L285" s="3" t="b">
        <f>TRUE()</f>
        <v>1</v>
      </c>
      <c r="M285" s="3" t="s">
        <v>1174</v>
      </c>
      <c r="N285" s="3" t="s">
        <v>85</v>
      </c>
      <c r="O285" s="3" t="b">
        <f>TRUE()</f>
        <v>1</v>
      </c>
      <c r="P285" s="3" t="s">
        <v>1175</v>
      </c>
    </row>
    <row r="286" customHeight="1" spans="1:16">
      <c r="A286" s="3" t="s">
        <v>653</v>
      </c>
      <c r="B286" s="3" t="s">
        <v>654</v>
      </c>
      <c r="C286" s="3">
        <v>51289</v>
      </c>
      <c r="D286" s="3">
        <v>16818</v>
      </c>
      <c r="E286" s="3">
        <v>1910000</v>
      </c>
      <c r="F286" s="3">
        <v>240</v>
      </c>
      <c r="G286" s="3">
        <v>8.65</v>
      </c>
      <c r="H286" s="3">
        <v>16757.1990962032</v>
      </c>
      <c r="I286" s="12">
        <v>65.4627680325279</v>
      </c>
      <c r="J286" s="3">
        <v>838</v>
      </c>
      <c r="K286" s="3" t="b">
        <f>FALSE()</f>
        <v>0</v>
      </c>
      <c r="L286" s="3" t="b">
        <f>TRUE()</f>
        <v>1</v>
      </c>
      <c r="M286" s="3" t="s">
        <v>1171</v>
      </c>
      <c r="N286" s="3" t="s">
        <v>85</v>
      </c>
      <c r="O286" s="3" t="b">
        <f>FALSE()</f>
        <v>0</v>
      </c>
      <c r="P286" s="3" t="s">
        <v>1172</v>
      </c>
    </row>
    <row r="287" customHeight="1" spans="1:16">
      <c r="A287" s="3" t="s">
        <v>655</v>
      </c>
      <c r="B287" s="3" t="s">
        <v>656</v>
      </c>
      <c r="C287" s="3">
        <v>53485</v>
      </c>
      <c r="D287" s="3">
        <v>3198</v>
      </c>
      <c r="E287" s="3">
        <v>450000</v>
      </c>
      <c r="F287" s="3">
        <v>36</v>
      </c>
      <c r="G287" s="3">
        <v>13.34</v>
      </c>
      <c r="H287" s="3">
        <v>15236.0776649937</v>
      </c>
      <c r="I287" s="12">
        <v>34.4658832663245</v>
      </c>
      <c r="J287" s="3">
        <v>763</v>
      </c>
      <c r="K287" s="3" t="b">
        <f>TRUE()</f>
        <v>1</v>
      </c>
      <c r="L287" s="3" t="b">
        <f>TRUE()</f>
        <v>1</v>
      </c>
      <c r="M287" s="3" t="s">
        <v>1174</v>
      </c>
      <c r="N287" s="3" t="s">
        <v>85</v>
      </c>
      <c r="O287" s="3" t="b">
        <f>TRUE()</f>
        <v>1</v>
      </c>
      <c r="P287" s="3" t="s">
        <v>1175</v>
      </c>
    </row>
    <row r="288" customHeight="1" spans="1:16">
      <c r="A288" s="3" t="s">
        <v>657</v>
      </c>
      <c r="B288" s="3" t="s">
        <v>442</v>
      </c>
      <c r="C288" s="3">
        <v>78709</v>
      </c>
      <c r="D288" s="3">
        <v>13830</v>
      </c>
      <c r="E288" s="3">
        <v>4030000</v>
      </c>
      <c r="F288" s="3">
        <v>240</v>
      </c>
      <c r="G288" s="3">
        <v>8.83</v>
      </c>
      <c r="H288" s="3">
        <v>35819.5180782509</v>
      </c>
      <c r="I288" s="12">
        <v>63.0798486554916</v>
      </c>
      <c r="J288" s="3">
        <v>760</v>
      </c>
      <c r="K288" s="3" t="b">
        <f>FALSE()</f>
        <v>0</v>
      </c>
      <c r="L288" s="3" t="b">
        <f>TRUE()</f>
        <v>1</v>
      </c>
      <c r="M288" s="3" t="s">
        <v>1171</v>
      </c>
      <c r="N288" s="3" t="s">
        <v>85</v>
      </c>
      <c r="O288" s="3" t="b">
        <f>FALSE()</f>
        <v>0</v>
      </c>
      <c r="P288" s="3" t="s">
        <v>1172</v>
      </c>
    </row>
    <row r="289" customHeight="1" spans="1:16">
      <c r="A289" s="3" t="s">
        <v>658</v>
      </c>
      <c r="B289" s="3" t="s">
        <v>659</v>
      </c>
      <c r="C289" s="3">
        <v>36886</v>
      </c>
      <c r="D289" s="3">
        <v>10085</v>
      </c>
      <c r="E289" s="3">
        <v>710000</v>
      </c>
      <c r="F289" s="3">
        <v>48</v>
      </c>
      <c r="G289" s="3">
        <v>10.61</v>
      </c>
      <c r="H289" s="3">
        <v>18216.1403857677</v>
      </c>
      <c r="I289" s="12">
        <v>76.7259675371896</v>
      </c>
      <c r="J289" s="3">
        <v>687</v>
      </c>
      <c r="K289" s="3" t="b">
        <f>FALSE()</f>
        <v>0</v>
      </c>
      <c r="L289" s="3" t="b">
        <f>FALSE()</f>
        <v>0</v>
      </c>
      <c r="M289" s="3" t="s">
        <v>1171</v>
      </c>
      <c r="N289" s="3" t="s">
        <v>91</v>
      </c>
      <c r="O289" s="3" t="b">
        <f>TRUE()</f>
        <v>1</v>
      </c>
      <c r="P289" s="3" t="s">
        <v>1173</v>
      </c>
    </row>
    <row r="290" customHeight="1" spans="1:16">
      <c r="A290" s="3" t="s">
        <v>660</v>
      </c>
      <c r="B290" s="3" t="s">
        <v>661</v>
      </c>
      <c r="C290" s="3">
        <v>120096</v>
      </c>
      <c r="D290" s="3">
        <v>0</v>
      </c>
      <c r="E290" s="3">
        <v>1320000</v>
      </c>
      <c r="F290" s="3">
        <v>84</v>
      </c>
      <c r="G290" s="3">
        <v>10.15</v>
      </c>
      <c r="H290" s="3">
        <v>22016.0044063013</v>
      </c>
      <c r="I290" s="12">
        <v>18.3320047347966</v>
      </c>
      <c r="J290" s="3">
        <v>754</v>
      </c>
      <c r="K290" s="3" t="b">
        <f>TRUE()</f>
        <v>1</v>
      </c>
      <c r="L290" s="3" t="b">
        <f>TRUE()</f>
        <v>1</v>
      </c>
      <c r="M290" s="3" t="s">
        <v>1174</v>
      </c>
      <c r="N290" s="3" t="s">
        <v>85</v>
      </c>
      <c r="O290" s="3" t="b">
        <f>TRUE()</f>
        <v>1</v>
      </c>
      <c r="P290" s="3" t="s">
        <v>1175</v>
      </c>
    </row>
    <row r="291" customHeight="1" spans="1:16">
      <c r="A291" s="3" t="s">
        <v>662</v>
      </c>
      <c r="B291" s="3" t="s">
        <v>663</v>
      </c>
      <c r="C291" s="3">
        <v>89818</v>
      </c>
      <c r="D291" s="3">
        <v>7069</v>
      </c>
      <c r="E291" s="3">
        <v>1060000</v>
      </c>
      <c r="F291" s="3">
        <v>60</v>
      </c>
      <c r="G291" s="3">
        <v>9.02</v>
      </c>
      <c r="H291" s="3">
        <v>22014.1469957392</v>
      </c>
      <c r="I291" s="12">
        <v>32.3800875055548</v>
      </c>
      <c r="J291" s="3">
        <v>823</v>
      </c>
      <c r="K291" s="3" t="b">
        <f>TRUE()</f>
        <v>1</v>
      </c>
      <c r="L291" s="3" t="b">
        <f>TRUE()</f>
        <v>1</v>
      </c>
      <c r="M291" s="3" t="s">
        <v>1174</v>
      </c>
      <c r="N291" s="3" t="s">
        <v>85</v>
      </c>
      <c r="O291" s="3" t="b">
        <f>TRUE()</f>
        <v>1</v>
      </c>
      <c r="P291" s="3" t="s">
        <v>1175</v>
      </c>
    </row>
    <row r="292" customHeight="1" spans="1:16">
      <c r="A292" s="3" t="s">
        <v>664</v>
      </c>
      <c r="B292" s="3" t="s">
        <v>665</v>
      </c>
      <c r="C292" s="3">
        <v>73242</v>
      </c>
      <c r="D292" s="3">
        <v>27231</v>
      </c>
      <c r="E292" s="3">
        <v>310000</v>
      </c>
      <c r="F292" s="3">
        <v>36</v>
      </c>
      <c r="G292" s="3">
        <v>13.72</v>
      </c>
      <c r="H292" s="3">
        <v>10552.9561499912</v>
      </c>
      <c r="I292" s="12">
        <v>51.5878268616248</v>
      </c>
      <c r="J292" s="3">
        <v>771</v>
      </c>
      <c r="K292" s="3" t="b">
        <f>FALSE()</f>
        <v>0</v>
      </c>
      <c r="L292" s="3" t="b">
        <f>TRUE()</f>
        <v>1</v>
      </c>
      <c r="M292" s="3" t="s">
        <v>1171</v>
      </c>
      <c r="N292" s="3" t="s">
        <v>85</v>
      </c>
      <c r="O292" s="3" t="b">
        <f>FALSE()</f>
        <v>0</v>
      </c>
      <c r="P292" s="3" t="s">
        <v>1172</v>
      </c>
    </row>
    <row r="293" customHeight="1" spans="1:16">
      <c r="A293" s="3" t="s">
        <v>666</v>
      </c>
      <c r="B293" s="3" t="s">
        <v>582</v>
      </c>
      <c r="C293" s="3">
        <v>65722</v>
      </c>
      <c r="D293" s="3">
        <v>9604</v>
      </c>
      <c r="E293" s="3">
        <v>700000</v>
      </c>
      <c r="F293" s="3">
        <v>48</v>
      </c>
      <c r="G293" s="3">
        <v>11.26</v>
      </c>
      <c r="H293" s="3">
        <v>18180.3776169334</v>
      </c>
      <c r="I293" s="12">
        <v>42.2756118452473</v>
      </c>
      <c r="J293" s="3">
        <v>808</v>
      </c>
      <c r="K293" s="3" t="b">
        <f>TRUE()</f>
        <v>1</v>
      </c>
      <c r="L293" s="3" t="b">
        <f>TRUE()</f>
        <v>1</v>
      </c>
      <c r="M293" s="3" t="s">
        <v>1174</v>
      </c>
      <c r="N293" s="3" t="s">
        <v>85</v>
      </c>
      <c r="O293" s="3" t="b">
        <f>TRUE()</f>
        <v>1</v>
      </c>
      <c r="P293" s="3" t="s">
        <v>1175</v>
      </c>
    </row>
    <row r="294" customHeight="1" spans="1:16">
      <c r="A294" s="3" t="s">
        <v>667</v>
      </c>
      <c r="B294" s="3" t="s">
        <v>668</v>
      </c>
      <c r="C294" s="3">
        <v>82551</v>
      </c>
      <c r="D294" s="3">
        <v>26034</v>
      </c>
      <c r="E294" s="3">
        <v>360000</v>
      </c>
      <c r="F294" s="3">
        <v>36</v>
      </c>
      <c r="G294" s="3">
        <v>14.41</v>
      </c>
      <c r="H294" s="3">
        <v>12375.756271884</v>
      </c>
      <c r="I294" s="12">
        <v>46.5285172461678</v>
      </c>
      <c r="J294" s="3">
        <v>697</v>
      </c>
      <c r="K294" s="3" t="b">
        <f>TRUE()</f>
        <v>1</v>
      </c>
      <c r="L294" s="3" t="b">
        <f>FALSE()</f>
        <v>0</v>
      </c>
      <c r="M294" s="3" t="s">
        <v>1171</v>
      </c>
      <c r="N294" s="3" t="s">
        <v>85</v>
      </c>
      <c r="O294" s="3" t="b">
        <f>FALSE()</f>
        <v>0</v>
      </c>
      <c r="P294" s="3" t="s">
        <v>1172</v>
      </c>
    </row>
    <row r="295" customHeight="1" spans="1:16">
      <c r="A295" s="3" t="s">
        <v>669</v>
      </c>
      <c r="B295" s="3" t="s">
        <v>670</v>
      </c>
      <c r="C295" s="3">
        <v>41683</v>
      </c>
      <c r="D295" s="3">
        <v>16682</v>
      </c>
      <c r="E295" s="3">
        <v>470000</v>
      </c>
      <c r="F295" s="3">
        <v>36</v>
      </c>
      <c r="G295" s="3">
        <v>13.12</v>
      </c>
      <c r="H295" s="3">
        <v>15863.3368525832</v>
      </c>
      <c r="I295" s="12">
        <v>78.0782017910975</v>
      </c>
      <c r="J295" s="3">
        <v>707</v>
      </c>
      <c r="K295" s="3" t="b">
        <f>FALSE()</f>
        <v>0</v>
      </c>
      <c r="L295" s="3" t="b">
        <f>TRUE()</f>
        <v>1</v>
      </c>
      <c r="M295" s="3" t="s">
        <v>1171</v>
      </c>
      <c r="N295" s="3" t="s">
        <v>85</v>
      </c>
      <c r="O295" s="3" t="b">
        <f>FALSE()</f>
        <v>0</v>
      </c>
      <c r="P295" s="3" t="s">
        <v>1172</v>
      </c>
    </row>
    <row r="296" customHeight="1" spans="1:16">
      <c r="A296" s="3" t="s">
        <v>671</v>
      </c>
      <c r="B296" s="3" t="s">
        <v>672</v>
      </c>
      <c r="C296" s="3">
        <v>80370</v>
      </c>
      <c r="D296" s="3">
        <v>12482</v>
      </c>
      <c r="E296" s="3">
        <v>280000</v>
      </c>
      <c r="F296" s="3">
        <v>36</v>
      </c>
      <c r="G296" s="3">
        <v>14.21</v>
      </c>
      <c r="H296" s="3">
        <v>9598.31976678358</v>
      </c>
      <c r="I296" s="12">
        <v>27.4733355316456</v>
      </c>
      <c r="J296" s="3">
        <v>793</v>
      </c>
      <c r="K296" s="3" t="b">
        <f>TRUE()</f>
        <v>1</v>
      </c>
      <c r="L296" s="3" t="b">
        <f>TRUE()</f>
        <v>1</v>
      </c>
      <c r="M296" s="3" t="s">
        <v>1174</v>
      </c>
      <c r="N296" s="3" t="s">
        <v>85</v>
      </c>
      <c r="O296" s="3" t="b">
        <f>TRUE()</f>
        <v>1</v>
      </c>
      <c r="P296" s="3" t="s">
        <v>1175</v>
      </c>
    </row>
    <row r="297" customHeight="1" spans="1:16">
      <c r="A297" s="3" t="s">
        <v>673</v>
      </c>
      <c r="B297" s="3" t="s">
        <v>674</v>
      </c>
      <c r="C297" s="3">
        <v>40963</v>
      </c>
      <c r="D297" s="3">
        <v>0</v>
      </c>
      <c r="E297" s="3">
        <v>580000</v>
      </c>
      <c r="F297" s="3">
        <v>48</v>
      </c>
      <c r="G297" s="3">
        <v>11.28</v>
      </c>
      <c r="H297" s="3">
        <v>15069.3915843323</v>
      </c>
      <c r="I297" s="12">
        <v>36.7878123778345</v>
      </c>
      <c r="J297" s="3">
        <v>683</v>
      </c>
      <c r="K297" s="3" t="b">
        <f>TRUE()</f>
        <v>1</v>
      </c>
      <c r="L297" s="3" t="b">
        <f>FALSE()</f>
        <v>0</v>
      </c>
      <c r="M297" s="3" t="s">
        <v>1171</v>
      </c>
      <c r="N297" s="3" t="s">
        <v>85</v>
      </c>
      <c r="O297" s="3" t="b">
        <f>FALSE()</f>
        <v>0</v>
      </c>
      <c r="P297" s="3" t="s">
        <v>1172</v>
      </c>
    </row>
    <row r="298" customHeight="1" spans="1:16">
      <c r="A298" s="3" t="s">
        <v>675</v>
      </c>
      <c r="B298" s="3" t="s">
        <v>676</v>
      </c>
      <c r="C298" s="3">
        <v>49018</v>
      </c>
      <c r="D298" s="3">
        <v>0</v>
      </c>
      <c r="E298" s="3">
        <v>440000</v>
      </c>
      <c r="F298" s="3">
        <v>36</v>
      </c>
      <c r="G298" s="3">
        <v>13.17</v>
      </c>
      <c r="H298" s="3">
        <v>14861.392878405</v>
      </c>
      <c r="I298" s="12">
        <v>30.318235910084</v>
      </c>
      <c r="J298" s="3">
        <v>802</v>
      </c>
      <c r="K298" s="3" t="b">
        <f>TRUE()</f>
        <v>1</v>
      </c>
      <c r="L298" s="3" t="b">
        <f t="shared" ref="L298:L305" si="19">TRUE()</f>
        <v>1</v>
      </c>
      <c r="M298" s="3" t="s">
        <v>1174</v>
      </c>
      <c r="N298" s="3" t="s">
        <v>85</v>
      </c>
      <c r="O298" s="3" t="b">
        <f>TRUE()</f>
        <v>1</v>
      </c>
      <c r="P298" s="3" t="s">
        <v>1175</v>
      </c>
    </row>
    <row r="299" customHeight="1" spans="1:16">
      <c r="A299" s="3" t="s">
        <v>677</v>
      </c>
      <c r="B299" s="3" t="s">
        <v>678</v>
      </c>
      <c r="C299" s="3">
        <v>106157</v>
      </c>
      <c r="D299" s="3">
        <v>23197</v>
      </c>
      <c r="E299" s="3">
        <v>540000</v>
      </c>
      <c r="F299" s="3">
        <v>48</v>
      </c>
      <c r="G299" s="3">
        <v>11.4</v>
      </c>
      <c r="H299" s="3">
        <v>14061.7103352684</v>
      </c>
      <c r="I299" s="12">
        <v>35.0977423394297</v>
      </c>
      <c r="J299" s="3">
        <v>714</v>
      </c>
      <c r="K299" s="3" t="b">
        <f>TRUE()</f>
        <v>1</v>
      </c>
      <c r="L299" s="3" t="b">
        <f t="shared" si="19"/>
        <v>1</v>
      </c>
      <c r="M299" s="3" t="s">
        <v>1174</v>
      </c>
      <c r="N299" s="3" t="s">
        <v>85</v>
      </c>
      <c r="O299" s="3" t="b">
        <f>TRUE()</f>
        <v>1</v>
      </c>
      <c r="P299" s="3" t="s">
        <v>1175</v>
      </c>
    </row>
    <row r="300" customHeight="1" spans="1:16">
      <c r="A300" s="3" t="s">
        <v>679</v>
      </c>
      <c r="B300" s="3" t="s">
        <v>680</v>
      </c>
      <c r="C300" s="3">
        <v>28676</v>
      </c>
      <c r="D300" s="3">
        <v>2243</v>
      </c>
      <c r="E300" s="3">
        <v>630000</v>
      </c>
      <c r="F300" s="3">
        <v>60</v>
      </c>
      <c r="G300" s="3">
        <v>9.8</v>
      </c>
      <c r="H300" s="3">
        <v>13323.7253467626</v>
      </c>
      <c r="I300" s="12">
        <v>54.2848561401959</v>
      </c>
      <c r="J300" s="3">
        <v>731</v>
      </c>
      <c r="K300" s="3" t="b">
        <f>FALSE()</f>
        <v>0</v>
      </c>
      <c r="L300" s="3" t="b">
        <f t="shared" si="19"/>
        <v>1</v>
      </c>
      <c r="M300" s="3" t="s">
        <v>1171</v>
      </c>
      <c r="N300" s="3" t="s">
        <v>85</v>
      </c>
      <c r="O300" s="3" t="b">
        <f>FALSE()</f>
        <v>0</v>
      </c>
      <c r="P300" s="3" t="s">
        <v>1172</v>
      </c>
    </row>
    <row r="301" customHeight="1" spans="1:16">
      <c r="A301" s="3" t="s">
        <v>681</v>
      </c>
      <c r="B301" s="3" t="s">
        <v>682</v>
      </c>
      <c r="C301" s="3">
        <v>98939</v>
      </c>
      <c r="D301" s="3">
        <v>0</v>
      </c>
      <c r="E301" s="3">
        <v>1300000</v>
      </c>
      <c r="F301" s="3">
        <v>84</v>
      </c>
      <c r="G301" s="3">
        <v>10.64</v>
      </c>
      <c r="H301" s="3">
        <v>22013.859642707</v>
      </c>
      <c r="I301" s="12">
        <v>22.2499314150204</v>
      </c>
      <c r="J301" s="3">
        <v>759</v>
      </c>
      <c r="K301" s="3" t="b">
        <f>TRUE()</f>
        <v>1</v>
      </c>
      <c r="L301" s="3" t="b">
        <f t="shared" si="19"/>
        <v>1</v>
      </c>
      <c r="M301" s="3" t="s">
        <v>1174</v>
      </c>
      <c r="N301" s="3" t="s">
        <v>85</v>
      </c>
      <c r="O301" s="3" t="b">
        <f>TRUE()</f>
        <v>1</v>
      </c>
      <c r="P301" s="3" t="s">
        <v>1175</v>
      </c>
    </row>
    <row r="302" customHeight="1" spans="1:16">
      <c r="A302" s="3" t="s">
        <v>683</v>
      </c>
      <c r="B302" s="3" t="s">
        <v>684</v>
      </c>
      <c r="C302" s="3">
        <v>93213</v>
      </c>
      <c r="D302" s="3">
        <v>0</v>
      </c>
      <c r="E302" s="3">
        <v>2420000</v>
      </c>
      <c r="F302" s="3">
        <v>240</v>
      </c>
      <c r="G302" s="3">
        <v>8.51</v>
      </c>
      <c r="H302" s="3">
        <v>21016.6413100922</v>
      </c>
      <c r="I302" s="12">
        <v>22.5468993703584</v>
      </c>
      <c r="J302" s="3">
        <v>799</v>
      </c>
      <c r="K302" s="3" t="b">
        <f>TRUE()</f>
        <v>1</v>
      </c>
      <c r="L302" s="3" t="b">
        <f t="shared" si="19"/>
        <v>1</v>
      </c>
      <c r="M302" s="3" t="s">
        <v>1174</v>
      </c>
      <c r="N302" s="3" t="s">
        <v>85</v>
      </c>
      <c r="O302" s="3" t="b">
        <f>TRUE()</f>
        <v>1</v>
      </c>
      <c r="P302" s="3" t="s">
        <v>1175</v>
      </c>
    </row>
    <row r="303" customHeight="1" spans="1:16">
      <c r="A303" s="3" t="s">
        <v>685</v>
      </c>
      <c r="B303" s="3" t="s">
        <v>686</v>
      </c>
      <c r="C303" s="3">
        <v>40829</v>
      </c>
      <c r="D303" s="3">
        <v>9062</v>
      </c>
      <c r="E303" s="3">
        <v>1040000</v>
      </c>
      <c r="F303" s="3">
        <v>60</v>
      </c>
      <c r="G303" s="3">
        <v>9.43</v>
      </c>
      <c r="H303" s="3">
        <v>21806.3761449856</v>
      </c>
      <c r="I303" s="12">
        <v>75.6040464987769</v>
      </c>
      <c r="J303" s="3">
        <v>769</v>
      </c>
      <c r="K303" s="3" t="b">
        <f>FALSE()</f>
        <v>0</v>
      </c>
      <c r="L303" s="3" t="b">
        <f t="shared" si="19"/>
        <v>1</v>
      </c>
      <c r="M303" s="3" t="s">
        <v>1171</v>
      </c>
      <c r="N303" s="3" t="s">
        <v>85</v>
      </c>
      <c r="O303" s="3" t="b">
        <f>FALSE()</f>
        <v>0</v>
      </c>
      <c r="P303" s="3" t="s">
        <v>1172</v>
      </c>
    </row>
    <row r="304" customHeight="1" spans="1:16">
      <c r="A304" s="3" t="s">
        <v>687</v>
      </c>
      <c r="B304" s="3" t="s">
        <v>688</v>
      </c>
      <c r="C304" s="3">
        <v>54722</v>
      </c>
      <c r="D304" s="3">
        <v>0</v>
      </c>
      <c r="E304" s="3">
        <v>750000</v>
      </c>
      <c r="F304" s="3">
        <v>60</v>
      </c>
      <c r="G304" s="3">
        <v>9.66</v>
      </c>
      <c r="H304" s="3">
        <v>15810.1033081098</v>
      </c>
      <c r="I304" s="12">
        <v>28.8916766713749</v>
      </c>
      <c r="J304" s="3">
        <v>775</v>
      </c>
      <c r="K304" s="3" t="b">
        <f>TRUE()</f>
        <v>1</v>
      </c>
      <c r="L304" s="3" t="b">
        <f t="shared" si="19"/>
        <v>1</v>
      </c>
      <c r="M304" s="3" t="s">
        <v>1174</v>
      </c>
      <c r="N304" s="3" t="s">
        <v>85</v>
      </c>
      <c r="O304" s="3" t="b">
        <f>TRUE()</f>
        <v>1</v>
      </c>
      <c r="P304" s="3" t="s">
        <v>1175</v>
      </c>
    </row>
    <row r="305" customHeight="1" spans="1:16">
      <c r="A305" s="3" t="s">
        <v>689</v>
      </c>
      <c r="B305" s="3" t="s">
        <v>690</v>
      </c>
      <c r="C305" s="3">
        <v>48971</v>
      </c>
      <c r="D305" s="3">
        <v>9156</v>
      </c>
      <c r="E305" s="3">
        <v>210000</v>
      </c>
      <c r="F305" s="3">
        <v>36</v>
      </c>
      <c r="G305" s="3">
        <v>13.66</v>
      </c>
      <c r="H305" s="3">
        <v>7142.67275874363</v>
      </c>
      <c r="I305" s="12">
        <v>33.2822951517095</v>
      </c>
      <c r="J305" s="3">
        <v>764</v>
      </c>
      <c r="K305" s="3" t="b">
        <f>TRUE()</f>
        <v>1</v>
      </c>
      <c r="L305" s="3" t="b">
        <f t="shared" si="19"/>
        <v>1</v>
      </c>
      <c r="M305" s="3" t="s">
        <v>1174</v>
      </c>
      <c r="N305" s="3" t="s">
        <v>85</v>
      </c>
      <c r="O305" s="3" t="b">
        <f>TRUE()</f>
        <v>1</v>
      </c>
      <c r="P305" s="3" t="s">
        <v>1175</v>
      </c>
    </row>
    <row r="306" customHeight="1" spans="1:16">
      <c r="A306" s="3" t="s">
        <v>691</v>
      </c>
      <c r="B306" s="3" t="s">
        <v>692</v>
      </c>
      <c r="C306" s="3">
        <v>36313</v>
      </c>
      <c r="D306" s="3">
        <v>0</v>
      </c>
      <c r="E306" s="3">
        <v>3080000</v>
      </c>
      <c r="F306" s="3">
        <v>240</v>
      </c>
      <c r="G306" s="3">
        <v>9.06</v>
      </c>
      <c r="H306" s="3">
        <v>27830.5224128608</v>
      </c>
      <c r="I306" s="12">
        <v>76.6406587526804</v>
      </c>
      <c r="J306" s="3">
        <v>661</v>
      </c>
      <c r="K306" s="3" t="b">
        <f>FALSE()</f>
        <v>0</v>
      </c>
      <c r="L306" s="3" t="b">
        <f>FALSE()</f>
        <v>0</v>
      </c>
      <c r="M306" s="3" t="s">
        <v>1171</v>
      </c>
      <c r="N306" s="3" t="s">
        <v>85</v>
      </c>
      <c r="O306" s="3" t="b">
        <f>FALSE()</f>
        <v>0</v>
      </c>
      <c r="P306" s="3" t="s">
        <v>1172</v>
      </c>
    </row>
    <row r="307" customHeight="1" spans="1:16">
      <c r="A307" s="3" t="s">
        <v>693</v>
      </c>
      <c r="B307" s="3" t="s">
        <v>224</v>
      </c>
      <c r="C307" s="3">
        <v>75062</v>
      </c>
      <c r="D307" s="3">
        <v>0</v>
      </c>
      <c r="E307" s="3">
        <v>820000</v>
      </c>
      <c r="F307" s="3">
        <v>84</v>
      </c>
      <c r="G307" s="3">
        <v>10.94</v>
      </c>
      <c r="H307" s="3">
        <v>14014.5422581272</v>
      </c>
      <c r="I307" s="12">
        <v>18.6706219633466</v>
      </c>
      <c r="J307" s="3">
        <v>753</v>
      </c>
      <c r="K307" s="3" t="b">
        <f>TRUE()</f>
        <v>1</v>
      </c>
      <c r="L307" s="3" t="b">
        <f>TRUE()</f>
        <v>1</v>
      </c>
      <c r="M307" s="3" t="s">
        <v>1174</v>
      </c>
      <c r="N307" s="3" t="s">
        <v>85</v>
      </c>
      <c r="O307" s="3" t="b">
        <f>TRUE()</f>
        <v>1</v>
      </c>
      <c r="P307" s="3" t="s">
        <v>1175</v>
      </c>
    </row>
    <row r="308" customHeight="1" spans="1:16">
      <c r="A308" s="3" t="s">
        <v>694</v>
      </c>
      <c r="B308" s="3" t="s">
        <v>695</v>
      </c>
      <c r="C308" s="3">
        <v>63194</v>
      </c>
      <c r="D308" s="3">
        <v>0</v>
      </c>
      <c r="E308" s="3">
        <v>1080000</v>
      </c>
      <c r="F308" s="3">
        <v>60</v>
      </c>
      <c r="G308" s="3">
        <v>10.54</v>
      </c>
      <c r="H308" s="3">
        <v>23234.8185911285</v>
      </c>
      <c r="I308" s="12">
        <v>36.7674440471065</v>
      </c>
      <c r="J308" s="3">
        <v>671</v>
      </c>
      <c r="K308" s="3" t="b">
        <f>TRUE()</f>
        <v>1</v>
      </c>
      <c r="L308" s="3" t="b">
        <f>FALSE()</f>
        <v>0</v>
      </c>
      <c r="M308" s="3" t="s">
        <v>1171</v>
      </c>
      <c r="N308" s="3" t="s">
        <v>85</v>
      </c>
      <c r="O308" s="3" t="b">
        <f>FALSE()</f>
        <v>0</v>
      </c>
      <c r="P308" s="3" t="s">
        <v>1172</v>
      </c>
    </row>
    <row r="309" customHeight="1" spans="1:16">
      <c r="A309" s="3" t="s">
        <v>696</v>
      </c>
      <c r="B309" s="3" t="s">
        <v>697</v>
      </c>
      <c r="C309" s="3">
        <v>34785</v>
      </c>
      <c r="D309" s="3">
        <v>11554</v>
      </c>
      <c r="E309" s="3">
        <v>800000</v>
      </c>
      <c r="F309" s="3">
        <v>60</v>
      </c>
      <c r="G309" s="3">
        <v>13.78</v>
      </c>
      <c r="H309" s="3">
        <v>18523.4816704392</v>
      </c>
      <c r="I309" s="12">
        <v>86.4668152089671</v>
      </c>
      <c r="J309" s="3">
        <v>775</v>
      </c>
      <c r="K309" s="3" t="b">
        <f>FALSE()</f>
        <v>0</v>
      </c>
      <c r="L309" s="3" t="b">
        <f t="shared" ref="L309:L314" si="20">TRUE()</f>
        <v>1</v>
      </c>
      <c r="M309" s="3" t="s">
        <v>1171</v>
      </c>
      <c r="N309" s="3" t="s">
        <v>85</v>
      </c>
      <c r="O309" s="3" t="b">
        <f>FALSE()</f>
        <v>0</v>
      </c>
      <c r="P309" s="3" t="s">
        <v>1172</v>
      </c>
    </row>
    <row r="310" customHeight="1" spans="1:16">
      <c r="A310" s="3" t="s">
        <v>698</v>
      </c>
      <c r="B310" s="3" t="s">
        <v>699</v>
      </c>
      <c r="C310" s="3">
        <v>42583</v>
      </c>
      <c r="D310" s="3">
        <v>9232</v>
      </c>
      <c r="E310" s="3">
        <v>310000</v>
      </c>
      <c r="F310" s="3">
        <v>48</v>
      </c>
      <c r="G310" s="3">
        <v>11.99</v>
      </c>
      <c r="H310" s="3">
        <v>8161.96699437661</v>
      </c>
      <c r="I310" s="12">
        <v>40.8472089669037</v>
      </c>
      <c r="J310" s="3">
        <v>707</v>
      </c>
      <c r="K310" s="3" t="b">
        <f t="shared" ref="K310:K315" si="21">TRUE()</f>
        <v>1</v>
      </c>
      <c r="L310" s="3" t="b">
        <f t="shared" si="20"/>
        <v>1</v>
      </c>
      <c r="M310" s="3" t="s">
        <v>1174</v>
      </c>
      <c r="N310" s="3" t="s">
        <v>85</v>
      </c>
      <c r="O310" s="3" t="b">
        <f>TRUE()</f>
        <v>1</v>
      </c>
      <c r="P310" s="3" t="s">
        <v>1175</v>
      </c>
    </row>
    <row r="311" customHeight="1" spans="1:16">
      <c r="A311" s="3" t="s">
        <v>700</v>
      </c>
      <c r="B311" s="3" t="s">
        <v>701</v>
      </c>
      <c r="C311" s="3">
        <v>109589</v>
      </c>
      <c r="D311" s="3">
        <v>0</v>
      </c>
      <c r="E311" s="3">
        <v>500000</v>
      </c>
      <c r="F311" s="3">
        <v>48</v>
      </c>
      <c r="G311" s="3">
        <v>10.84</v>
      </c>
      <c r="H311" s="3">
        <v>12883.9452899946</v>
      </c>
      <c r="I311" s="12">
        <v>11.7566044858467</v>
      </c>
      <c r="J311" s="3">
        <v>735</v>
      </c>
      <c r="K311" s="3" t="b">
        <f t="shared" si="21"/>
        <v>1</v>
      </c>
      <c r="L311" s="3" t="b">
        <f t="shared" si="20"/>
        <v>1</v>
      </c>
      <c r="M311" s="3" t="s">
        <v>1174</v>
      </c>
      <c r="N311" s="3" t="s">
        <v>85</v>
      </c>
      <c r="O311" s="3" t="b">
        <f>TRUE()</f>
        <v>1</v>
      </c>
      <c r="P311" s="3" t="s">
        <v>1175</v>
      </c>
    </row>
    <row r="312" customHeight="1" spans="1:16">
      <c r="A312" s="3" t="s">
        <v>702</v>
      </c>
      <c r="B312" s="3" t="s">
        <v>703</v>
      </c>
      <c r="C312" s="3">
        <v>130566</v>
      </c>
      <c r="D312" s="3">
        <v>31221</v>
      </c>
      <c r="E312" s="3">
        <v>650000</v>
      </c>
      <c r="F312" s="3">
        <v>84</v>
      </c>
      <c r="G312" s="3">
        <v>10.57</v>
      </c>
      <c r="H312" s="3">
        <v>10983.1692088275</v>
      </c>
      <c r="I312" s="12">
        <v>32.3240117709262</v>
      </c>
      <c r="J312" s="3">
        <v>705</v>
      </c>
      <c r="K312" s="3" t="b">
        <f t="shared" si="21"/>
        <v>1</v>
      </c>
      <c r="L312" s="3" t="b">
        <f t="shared" si="20"/>
        <v>1</v>
      </c>
      <c r="M312" s="3" t="s">
        <v>1174</v>
      </c>
      <c r="N312" s="3" t="s">
        <v>85</v>
      </c>
      <c r="O312" s="3" t="b">
        <f>TRUE()</f>
        <v>1</v>
      </c>
      <c r="P312" s="3" t="s">
        <v>1175</v>
      </c>
    </row>
    <row r="313" customHeight="1" spans="1:16">
      <c r="A313" s="3" t="s">
        <v>704</v>
      </c>
      <c r="B313" s="3" t="s">
        <v>705</v>
      </c>
      <c r="C313" s="3">
        <v>125587</v>
      </c>
      <c r="D313" s="3">
        <v>0</v>
      </c>
      <c r="E313" s="3">
        <v>750000</v>
      </c>
      <c r="F313" s="3">
        <v>84</v>
      </c>
      <c r="G313" s="3">
        <v>10.91</v>
      </c>
      <c r="H313" s="3">
        <v>12806.3638418286</v>
      </c>
      <c r="I313" s="12">
        <v>10.1972049987886</v>
      </c>
      <c r="J313" s="3">
        <v>764</v>
      </c>
      <c r="K313" s="3" t="b">
        <f t="shared" si="21"/>
        <v>1</v>
      </c>
      <c r="L313" s="3" t="b">
        <f t="shared" si="20"/>
        <v>1</v>
      </c>
      <c r="M313" s="3" t="s">
        <v>1174</v>
      </c>
      <c r="N313" s="3" t="s">
        <v>85</v>
      </c>
      <c r="O313" s="3" t="b">
        <f>TRUE()</f>
        <v>1</v>
      </c>
      <c r="P313" s="3" t="s">
        <v>1175</v>
      </c>
    </row>
    <row r="314" customHeight="1" spans="1:16">
      <c r="A314" s="3" t="s">
        <v>706</v>
      </c>
      <c r="B314" s="3" t="s">
        <v>517</v>
      </c>
      <c r="C314" s="3">
        <v>56085</v>
      </c>
      <c r="D314" s="3">
        <v>0</v>
      </c>
      <c r="E314" s="3">
        <v>290000</v>
      </c>
      <c r="F314" s="3">
        <v>84</v>
      </c>
      <c r="G314" s="3">
        <v>11.5</v>
      </c>
      <c r="H314" s="3">
        <v>5042.07363786966</v>
      </c>
      <c r="I314" s="12">
        <v>8.9900573020766</v>
      </c>
      <c r="J314" s="3">
        <v>736</v>
      </c>
      <c r="K314" s="3" t="b">
        <f t="shared" si="21"/>
        <v>1</v>
      </c>
      <c r="L314" s="3" t="b">
        <f t="shared" si="20"/>
        <v>1</v>
      </c>
      <c r="M314" s="3" t="s">
        <v>1174</v>
      </c>
      <c r="N314" s="3" t="s">
        <v>85</v>
      </c>
      <c r="O314" s="3" t="b">
        <f>TRUE()</f>
        <v>1</v>
      </c>
      <c r="P314" s="3" t="s">
        <v>1175</v>
      </c>
    </row>
    <row r="315" customHeight="1" spans="1:16">
      <c r="A315" s="3" t="s">
        <v>707</v>
      </c>
      <c r="B315" s="3" t="s">
        <v>708</v>
      </c>
      <c r="C315" s="3">
        <v>67619</v>
      </c>
      <c r="D315" s="3">
        <v>0</v>
      </c>
      <c r="E315" s="3">
        <v>500000</v>
      </c>
      <c r="F315" s="3">
        <v>60</v>
      </c>
      <c r="G315" s="3">
        <v>9.39</v>
      </c>
      <c r="H315" s="3">
        <v>10474.0729423879</v>
      </c>
      <c r="I315" s="12">
        <v>15.4898370907406</v>
      </c>
      <c r="J315" s="3">
        <v>687</v>
      </c>
      <c r="K315" s="3" t="b">
        <f t="shared" si="21"/>
        <v>1</v>
      </c>
      <c r="L315" s="3" t="b">
        <f>FALSE()</f>
        <v>0</v>
      </c>
      <c r="M315" s="3" t="s">
        <v>1171</v>
      </c>
      <c r="N315" s="3" t="s">
        <v>85</v>
      </c>
      <c r="O315" s="3" t="b">
        <f>FALSE()</f>
        <v>0</v>
      </c>
      <c r="P315" s="3" t="s">
        <v>1172</v>
      </c>
    </row>
    <row r="316" customHeight="1" spans="1:16">
      <c r="A316" s="3" t="s">
        <v>709</v>
      </c>
      <c r="B316" s="3" t="s">
        <v>710</v>
      </c>
      <c r="C316" s="3">
        <v>54595</v>
      </c>
      <c r="D316" s="3">
        <v>16043</v>
      </c>
      <c r="E316" s="3">
        <v>680000</v>
      </c>
      <c r="F316" s="3">
        <v>48</v>
      </c>
      <c r="G316" s="3">
        <v>11.11</v>
      </c>
      <c r="H316" s="3">
        <v>17611.3026190627</v>
      </c>
      <c r="I316" s="12">
        <v>61.6435618995562</v>
      </c>
      <c r="J316" s="3">
        <v>615</v>
      </c>
      <c r="K316" s="3" t="b">
        <f>FALSE()</f>
        <v>0</v>
      </c>
      <c r="L316" s="3" t="b">
        <f>FALSE()</f>
        <v>0</v>
      </c>
      <c r="M316" s="3" t="s">
        <v>1171</v>
      </c>
      <c r="N316" s="3" t="s">
        <v>91</v>
      </c>
      <c r="O316" s="3" t="b">
        <f>TRUE()</f>
        <v>1</v>
      </c>
      <c r="P316" s="3" t="s">
        <v>1173</v>
      </c>
    </row>
    <row r="317" customHeight="1" spans="1:16">
      <c r="A317" s="3" t="s">
        <v>711</v>
      </c>
      <c r="B317" s="3" t="s">
        <v>712</v>
      </c>
      <c r="C317" s="3">
        <v>24192</v>
      </c>
      <c r="D317" s="3">
        <v>0</v>
      </c>
      <c r="E317" s="3">
        <v>330000</v>
      </c>
      <c r="F317" s="3">
        <v>36</v>
      </c>
      <c r="G317" s="3">
        <v>13.29</v>
      </c>
      <c r="H317" s="3">
        <v>11165.1552288752</v>
      </c>
      <c r="I317" s="12">
        <v>46.1522620241203</v>
      </c>
      <c r="J317" s="3">
        <v>830</v>
      </c>
      <c r="K317" s="3" t="b">
        <f>TRUE()</f>
        <v>1</v>
      </c>
      <c r="L317" s="3" t="b">
        <f>TRUE()</f>
        <v>1</v>
      </c>
      <c r="M317" s="3" t="s">
        <v>1174</v>
      </c>
      <c r="N317" s="3" t="s">
        <v>85</v>
      </c>
      <c r="O317" s="3" t="b">
        <f>TRUE()</f>
        <v>1</v>
      </c>
      <c r="P317" s="3" t="s">
        <v>1175</v>
      </c>
    </row>
    <row r="318" customHeight="1" spans="1:16">
      <c r="A318" s="3" t="s">
        <v>713</v>
      </c>
      <c r="B318" s="3" t="s">
        <v>714</v>
      </c>
      <c r="C318" s="3">
        <v>55509</v>
      </c>
      <c r="D318" s="3">
        <v>0</v>
      </c>
      <c r="E318" s="3">
        <v>1110000</v>
      </c>
      <c r="F318" s="3">
        <v>60</v>
      </c>
      <c r="G318" s="3">
        <v>9.74</v>
      </c>
      <c r="H318" s="3">
        <v>23442.4677550865</v>
      </c>
      <c r="I318" s="12">
        <v>42.2318322345682</v>
      </c>
      <c r="J318" s="3">
        <v>609</v>
      </c>
      <c r="K318" s="3" t="b">
        <f>TRUE()</f>
        <v>1</v>
      </c>
      <c r="L318" s="3" t="b">
        <f>FALSE()</f>
        <v>0</v>
      </c>
      <c r="M318" s="3" t="s">
        <v>1171</v>
      </c>
      <c r="N318" s="3" t="s">
        <v>85</v>
      </c>
      <c r="O318" s="3" t="b">
        <f>FALSE()</f>
        <v>0</v>
      </c>
      <c r="P318" s="3" t="s">
        <v>1172</v>
      </c>
    </row>
    <row r="319" customHeight="1" spans="1:16">
      <c r="A319" s="3" t="s">
        <v>715</v>
      </c>
      <c r="B319" s="3" t="s">
        <v>716</v>
      </c>
      <c r="C319" s="3">
        <v>53055</v>
      </c>
      <c r="D319" s="3">
        <v>8905</v>
      </c>
      <c r="E319" s="3">
        <v>190000</v>
      </c>
      <c r="F319" s="3">
        <v>36</v>
      </c>
      <c r="G319" s="3">
        <v>14.59</v>
      </c>
      <c r="H319" s="3">
        <v>6548.32846158066</v>
      </c>
      <c r="I319" s="12">
        <v>29.1269973830566</v>
      </c>
      <c r="J319" s="3">
        <v>786</v>
      </c>
      <c r="K319" s="3" t="b">
        <f>TRUE()</f>
        <v>1</v>
      </c>
      <c r="L319" s="3" t="b">
        <f>TRUE()</f>
        <v>1</v>
      </c>
      <c r="M319" s="3" t="s">
        <v>1174</v>
      </c>
      <c r="N319" s="3" t="s">
        <v>85</v>
      </c>
      <c r="O319" s="3" t="b">
        <f>TRUE()</f>
        <v>1</v>
      </c>
      <c r="P319" s="3" t="s">
        <v>1175</v>
      </c>
    </row>
    <row r="320" customHeight="1" spans="1:16">
      <c r="A320" s="3" t="s">
        <v>717</v>
      </c>
      <c r="B320" s="3" t="s">
        <v>448</v>
      </c>
      <c r="C320" s="3">
        <v>79530</v>
      </c>
      <c r="D320" s="3">
        <v>0</v>
      </c>
      <c r="E320" s="3">
        <v>1260000</v>
      </c>
      <c r="F320" s="3">
        <v>60</v>
      </c>
      <c r="G320" s="3">
        <v>15</v>
      </c>
      <c r="H320" s="3">
        <v>29975.3119088121</v>
      </c>
      <c r="I320" s="12">
        <v>37.6905719964945</v>
      </c>
      <c r="J320" s="3">
        <v>810</v>
      </c>
      <c r="K320" s="3" t="b">
        <f>TRUE()</f>
        <v>1</v>
      </c>
      <c r="L320" s="3" t="b">
        <f>TRUE()</f>
        <v>1</v>
      </c>
      <c r="M320" s="3" t="s">
        <v>1174</v>
      </c>
      <c r="N320" s="3" t="s">
        <v>85</v>
      </c>
      <c r="O320" s="3" t="b">
        <f>TRUE()</f>
        <v>1</v>
      </c>
      <c r="P320" s="3" t="s">
        <v>1175</v>
      </c>
    </row>
    <row r="321" customHeight="1" spans="1:16">
      <c r="A321" s="3" t="s">
        <v>718</v>
      </c>
      <c r="B321" s="3" t="s">
        <v>719</v>
      </c>
      <c r="C321" s="3">
        <v>41583</v>
      </c>
      <c r="D321" s="3">
        <v>8459</v>
      </c>
      <c r="E321" s="3">
        <v>1070000</v>
      </c>
      <c r="F321" s="3">
        <v>84</v>
      </c>
      <c r="G321" s="3">
        <v>10.27</v>
      </c>
      <c r="H321" s="3">
        <v>17912.8966734735</v>
      </c>
      <c r="I321" s="12">
        <v>63.4198991738775</v>
      </c>
      <c r="J321" s="3">
        <v>800</v>
      </c>
      <c r="K321" s="3" t="b">
        <f>FALSE()</f>
        <v>0</v>
      </c>
      <c r="L321" s="3" t="b">
        <f>TRUE()</f>
        <v>1</v>
      </c>
      <c r="M321" s="3" t="s">
        <v>1171</v>
      </c>
      <c r="N321" s="3" t="s">
        <v>85</v>
      </c>
      <c r="O321" s="3" t="b">
        <f>FALSE()</f>
        <v>0</v>
      </c>
      <c r="P321" s="3" t="s">
        <v>1172</v>
      </c>
    </row>
    <row r="322" customHeight="1" spans="1:16">
      <c r="A322" s="3" t="s">
        <v>720</v>
      </c>
      <c r="B322" s="3" t="s">
        <v>721</v>
      </c>
      <c r="C322" s="3">
        <v>109565</v>
      </c>
      <c r="D322" s="3">
        <v>5386</v>
      </c>
      <c r="E322" s="3">
        <v>860000</v>
      </c>
      <c r="F322" s="3">
        <v>84</v>
      </c>
      <c r="G322" s="3">
        <v>11.47</v>
      </c>
      <c r="H322" s="3">
        <v>14938.6780209742</v>
      </c>
      <c r="I322" s="12">
        <v>18.550338174576</v>
      </c>
      <c r="J322" s="3">
        <v>652</v>
      </c>
      <c r="K322" s="3" t="b">
        <f t="shared" ref="K322:K327" si="22">TRUE()</f>
        <v>1</v>
      </c>
      <c r="L322" s="3" t="b">
        <f>FALSE()</f>
        <v>0</v>
      </c>
      <c r="M322" s="3" t="s">
        <v>1171</v>
      </c>
      <c r="N322" s="3" t="s">
        <v>85</v>
      </c>
      <c r="O322" s="3" t="b">
        <f>FALSE()</f>
        <v>0</v>
      </c>
      <c r="P322" s="3" t="s">
        <v>1172</v>
      </c>
    </row>
    <row r="323" customHeight="1" spans="1:16">
      <c r="A323" s="3" t="s">
        <v>722</v>
      </c>
      <c r="B323" s="3" t="s">
        <v>712</v>
      </c>
      <c r="C323" s="3">
        <v>106163</v>
      </c>
      <c r="D323" s="3">
        <v>44276</v>
      </c>
      <c r="E323" s="3">
        <v>280000</v>
      </c>
      <c r="F323" s="3">
        <v>48</v>
      </c>
      <c r="G323" s="3">
        <v>11.68</v>
      </c>
      <c r="H323" s="3">
        <v>7329.55782461444</v>
      </c>
      <c r="I323" s="12">
        <v>48.60973957463</v>
      </c>
      <c r="J323" s="3">
        <v>740</v>
      </c>
      <c r="K323" s="3" t="b">
        <f t="shared" si="22"/>
        <v>1</v>
      </c>
      <c r="L323" s="3" t="b">
        <f>TRUE()</f>
        <v>1</v>
      </c>
      <c r="M323" s="3" t="s">
        <v>1174</v>
      </c>
      <c r="N323" s="3" t="s">
        <v>85</v>
      </c>
      <c r="O323" s="3" t="b">
        <f>TRUE()</f>
        <v>1</v>
      </c>
      <c r="P323" s="3" t="s">
        <v>1175</v>
      </c>
    </row>
    <row r="324" customHeight="1" spans="1:16">
      <c r="A324" s="3" t="s">
        <v>723</v>
      </c>
      <c r="B324" s="3" t="s">
        <v>724</v>
      </c>
      <c r="C324" s="3">
        <v>30502</v>
      </c>
      <c r="D324" s="3">
        <v>0</v>
      </c>
      <c r="E324" s="3">
        <v>430000</v>
      </c>
      <c r="F324" s="3">
        <v>36</v>
      </c>
      <c r="G324" s="3">
        <v>14.08</v>
      </c>
      <c r="H324" s="3">
        <v>14713.0940895525</v>
      </c>
      <c r="I324" s="12">
        <v>48.2364897041258</v>
      </c>
      <c r="J324" s="3">
        <v>640</v>
      </c>
      <c r="K324" s="3" t="b">
        <f t="shared" si="22"/>
        <v>1</v>
      </c>
      <c r="L324" s="3" t="b">
        <f>FALSE()</f>
        <v>0</v>
      </c>
      <c r="M324" s="3" t="s">
        <v>1171</v>
      </c>
      <c r="N324" s="3" t="s">
        <v>85</v>
      </c>
      <c r="O324" s="3" t="b">
        <f>FALSE()</f>
        <v>0</v>
      </c>
      <c r="P324" s="3" t="s">
        <v>1172</v>
      </c>
    </row>
    <row r="325" customHeight="1" spans="1:16">
      <c r="A325" s="3" t="s">
        <v>725</v>
      </c>
      <c r="B325" s="3" t="s">
        <v>726</v>
      </c>
      <c r="C325" s="3">
        <v>58433</v>
      </c>
      <c r="D325" s="3">
        <v>4281</v>
      </c>
      <c r="E325" s="3">
        <v>1410000</v>
      </c>
      <c r="F325" s="3">
        <v>84</v>
      </c>
      <c r="G325" s="3">
        <v>10.4</v>
      </c>
      <c r="H325" s="3">
        <v>23700.1161032506</v>
      </c>
      <c r="I325" s="12">
        <v>47.8858112765912</v>
      </c>
      <c r="J325" s="3">
        <v>657</v>
      </c>
      <c r="K325" s="3" t="b">
        <f t="shared" si="22"/>
        <v>1</v>
      </c>
      <c r="L325" s="3" t="b">
        <f>FALSE()</f>
        <v>0</v>
      </c>
      <c r="M325" s="3" t="s">
        <v>1171</v>
      </c>
      <c r="N325" s="3" t="s">
        <v>85</v>
      </c>
      <c r="O325" s="3" t="b">
        <f>FALSE()</f>
        <v>0</v>
      </c>
      <c r="P325" s="3" t="s">
        <v>1172</v>
      </c>
    </row>
    <row r="326" customHeight="1" spans="1:16">
      <c r="A326" s="3" t="s">
        <v>727</v>
      </c>
      <c r="B326" s="3" t="s">
        <v>728</v>
      </c>
      <c r="C326" s="3">
        <v>65886</v>
      </c>
      <c r="D326" s="3">
        <v>7784</v>
      </c>
      <c r="E326" s="3">
        <v>280000</v>
      </c>
      <c r="F326" s="3">
        <v>84</v>
      </c>
      <c r="G326" s="3">
        <v>10.65</v>
      </c>
      <c r="H326" s="3">
        <v>4742.9099012713</v>
      </c>
      <c r="I326" s="12">
        <v>19.0130071658187</v>
      </c>
      <c r="J326" s="3">
        <v>697</v>
      </c>
      <c r="K326" s="3" t="b">
        <f t="shared" si="22"/>
        <v>1</v>
      </c>
      <c r="L326" s="3" t="b">
        <f>FALSE()</f>
        <v>0</v>
      </c>
      <c r="M326" s="3" t="s">
        <v>1171</v>
      </c>
      <c r="N326" s="3" t="s">
        <v>85</v>
      </c>
      <c r="O326" s="3" t="b">
        <f>FALSE()</f>
        <v>0</v>
      </c>
      <c r="P326" s="3" t="s">
        <v>1172</v>
      </c>
    </row>
    <row r="327" customHeight="1" spans="1:16">
      <c r="A327" s="3" t="s">
        <v>729</v>
      </c>
      <c r="B327" s="3" t="s">
        <v>730</v>
      </c>
      <c r="C327" s="3">
        <v>30932</v>
      </c>
      <c r="D327" s="3">
        <v>6530</v>
      </c>
      <c r="E327" s="3">
        <v>170000</v>
      </c>
      <c r="F327" s="3">
        <v>48</v>
      </c>
      <c r="G327" s="3">
        <v>11.85</v>
      </c>
      <c r="H327" s="3">
        <v>4464.24198051144</v>
      </c>
      <c r="I327" s="12">
        <v>35.5432625776266</v>
      </c>
      <c r="J327" s="3">
        <v>666</v>
      </c>
      <c r="K327" s="3" t="b">
        <f t="shared" si="22"/>
        <v>1</v>
      </c>
      <c r="L327" s="3" t="b">
        <f>FALSE()</f>
        <v>0</v>
      </c>
      <c r="M327" s="3" t="s">
        <v>1171</v>
      </c>
      <c r="N327" s="3" t="s">
        <v>85</v>
      </c>
      <c r="O327" s="3" t="b">
        <f>FALSE()</f>
        <v>0</v>
      </c>
      <c r="P327" s="3" t="s">
        <v>1172</v>
      </c>
    </row>
    <row r="328" customHeight="1" spans="1:16">
      <c r="A328" s="3" t="s">
        <v>731</v>
      </c>
      <c r="B328" s="3" t="s">
        <v>732</v>
      </c>
      <c r="C328" s="3">
        <v>39497</v>
      </c>
      <c r="D328" s="3">
        <v>7182</v>
      </c>
      <c r="E328" s="3">
        <v>380000</v>
      </c>
      <c r="F328" s="3">
        <v>36</v>
      </c>
      <c r="G328" s="3">
        <v>13.24</v>
      </c>
      <c r="H328" s="3">
        <v>12847.673520693</v>
      </c>
      <c r="I328" s="12">
        <v>50.7118857652303</v>
      </c>
      <c r="J328" s="3">
        <v>775</v>
      </c>
      <c r="K328" s="3" t="b">
        <f>FALSE()</f>
        <v>0</v>
      </c>
      <c r="L328" s="3" t="b">
        <f t="shared" ref="L328:L334" si="23">TRUE()</f>
        <v>1</v>
      </c>
      <c r="M328" s="3" t="s">
        <v>1171</v>
      </c>
      <c r="N328" s="3" t="s">
        <v>85</v>
      </c>
      <c r="O328" s="3" t="b">
        <f>FALSE()</f>
        <v>0</v>
      </c>
      <c r="P328" s="3" t="s">
        <v>1172</v>
      </c>
    </row>
    <row r="329" customHeight="1" spans="1:16">
      <c r="A329" s="3" t="s">
        <v>733</v>
      </c>
      <c r="B329" s="3" t="s">
        <v>734</v>
      </c>
      <c r="C329" s="3">
        <v>46953</v>
      </c>
      <c r="D329" s="3">
        <v>0</v>
      </c>
      <c r="E329" s="3">
        <v>330000</v>
      </c>
      <c r="F329" s="3">
        <v>36</v>
      </c>
      <c r="G329" s="3">
        <v>13.15</v>
      </c>
      <c r="H329" s="3">
        <v>11142.8614269019</v>
      </c>
      <c r="I329" s="12">
        <v>23.7319477496686</v>
      </c>
      <c r="J329" s="3">
        <v>703</v>
      </c>
      <c r="K329" s="3" t="b">
        <f>TRUE()</f>
        <v>1</v>
      </c>
      <c r="L329" s="3" t="b">
        <f t="shared" si="23"/>
        <v>1</v>
      </c>
      <c r="M329" s="3" t="s">
        <v>1174</v>
      </c>
      <c r="N329" s="3" t="s">
        <v>85</v>
      </c>
      <c r="O329" s="3" t="b">
        <f>TRUE()</f>
        <v>1</v>
      </c>
      <c r="P329" s="3" t="s">
        <v>1175</v>
      </c>
    </row>
    <row r="330" customHeight="1" spans="1:16">
      <c r="A330" s="3" t="s">
        <v>735</v>
      </c>
      <c r="B330" s="3" t="s">
        <v>736</v>
      </c>
      <c r="C330" s="3">
        <v>111188</v>
      </c>
      <c r="D330" s="3">
        <v>13030</v>
      </c>
      <c r="E330" s="3">
        <v>1180000</v>
      </c>
      <c r="F330" s="3">
        <v>84</v>
      </c>
      <c r="G330" s="3">
        <v>10.71</v>
      </c>
      <c r="H330" s="3">
        <v>20024.9982248968</v>
      </c>
      <c r="I330" s="12">
        <v>29.7289259856251</v>
      </c>
      <c r="J330" s="3">
        <v>754</v>
      </c>
      <c r="K330" s="3" t="b">
        <f>TRUE()</f>
        <v>1</v>
      </c>
      <c r="L330" s="3" t="b">
        <f t="shared" si="23"/>
        <v>1</v>
      </c>
      <c r="M330" s="3" t="s">
        <v>1174</v>
      </c>
      <c r="N330" s="3" t="s">
        <v>85</v>
      </c>
      <c r="O330" s="3" t="b">
        <f>TRUE()</f>
        <v>1</v>
      </c>
      <c r="P330" s="3" t="s">
        <v>1175</v>
      </c>
    </row>
    <row r="331" customHeight="1" spans="1:16">
      <c r="A331" s="3" t="s">
        <v>737</v>
      </c>
      <c r="B331" s="3" t="s">
        <v>738</v>
      </c>
      <c r="C331" s="3">
        <v>83968</v>
      </c>
      <c r="D331" s="3">
        <v>0</v>
      </c>
      <c r="E331" s="3">
        <v>340000</v>
      </c>
      <c r="F331" s="3">
        <v>48</v>
      </c>
      <c r="G331" s="3">
        <v>11.52</v>
      </c>
      <c r="H331" s="3">
        <v>8873.5839270724</v>
      </c>
      <c r="I331" s="12">
        <v>10.567816224124</v>
      </c>
      <c r="J331" s="3">
        <v>789</v>
      </c>
      <c r="K331" s="3" t="b">
        <f>TRUE()</f>
        <v>1</v>
      </c>
      <c r="L331" s="3" t="b">
        <f t="shared" si="23"/>
        <v>1</v>
      </c>
      <c r="M331" s="3" t="s">
        <v>1174</v>
      </c>
      <c r="N331" s="3" t="s">
        <v>85</v>
      </c>
      <c r="O331" s="3" t="b">
        <f>TRUE()</f>
        <v>1</v>
      </c>
      <c r="P331" s="3" t="s">
        <v>1175</v>
      </c>
    </row>
    <row r="332" customHeight="1" spans="1:16">
      <c r="A332" s="3" t="s">
        <v>739</v>
      </c>
      <c r="B332" s="3" t="s">
        <v>740</v>
      </c>
      <c r="C332" s="3">
        <v>99666</v>
      </c>
      <c r="D332" s="3">
        <v>0</v>
      </c>
      <c r="E332" s="3">
        <v>1920000</v>
      </c>
      <c r="F332" s="3">
        <v>60</v>
      </c>
      <c r="G332" s="3">
        <v>14.15</v>
      </c>
      <c r="H332" s="3">
        <v>44824.4919364301</v>
      </c>
      <c r="I332" s="12">
        <v>44.9747074593443</v>
      </c>
      <c r="J332" s="3">
        <v>847</v>
      </c>
      <c r="K332" s="3" t="b">
        <f>TRUE()</f>
        <v>1</v>
      </c>
      <c r="L332" s="3" t="b">
        <f t="shared" si="23"/>
        <v>1</v>
      </c>
      <c r="M332" s="3" t="s">
        <v>1174</v>
      </c>
      <c r="N332" s="3" t="s">
        <v>85</v>
      </c>
      <c r="O332" s="3" t="b">
        <f>TRUE()</f>
        <v>1</v>
      </c>
      <c r="P332" s="3" t="s">
        <v>1175</v>
      </c>
    </row>
    <row r="333" customHeight="1" spans="1:16">
      <c r="A333" s="3" t="s">
        <v>741</v>
      </c>
      <c r="B333" s="3" t="s">
        <v>742</v>
      </c>
      <c r="C333" s="3">
        <v>49756</v>
      </c>
      <c r="D333" s="3">
        <v>0</v>
      </c>
      <c r="E333" s="3">
        <v>1260000</v>
      </c>
      <c r="F333" s="3">
        <v>60</v>
      </c>
      <c r="G333" s="3">
        <v>13.68</v>
      </c>
      <c r="H333" s="3">
        <v>29109.3819662539</v>
      </c>
      <c r="I333" s="12">
        <v>58.5042647444608</v>
      </c>
      <c r="J333" s="3">
        <v>799</v>
      </c>
      <c r="K333" s="3" t="b">
        <f>FALSE()</f>
        <v>0</v>
      </c>
      <c r="L333" s="3" t="b">
        <f t="shared" si="23"/>
        <v>1</v>
      </c>
      <c r="M333" s="3" t="s">
        <v>1171</v>
      </c>
      <c r="N333" s="3" t="s">
        <v>85</v>
      </c>
      <c r="O333" s="3" t="b">
        <f>FALSE()</f>
        <v>0</v>
      </c>
      <c r="P333" s="3" t="s">
        <v>1172</v>
      </c>
    </row>
    <row r="334" customHeight="1" spans="1:16">
      <c r="A334" s="3" t="s">
        <v>743</v>
      </c>
      <c r="B334" s="3" t="s">
        <v>744</v>
      </c>
      <c r="C334" s="3">
        <v>62092</v>
      </c>
      <c r="D334" s="3">
        <v>3070</v>
      </c>
      <c r="E334" s="3">
        <v>3800000</v>
      </c>
      <c r="F334" s="3">
        <v>240</v>
      </c>
      <c r="G334" s="3">
        <v>8.68</v>
      </c>
      <c r="H334" s="3">
        <v>33411.4713004847</v>
      </c>
      <c r="I334" s="12">
        <v>58.7538995369528</v>
      </c>
      <c r="J334" s="3">
        <v>753</v>
      </c>
      <c r="K334" s="3" t="b">
        <f>FALSE()</f>
        <v>0</v>
      </c>
      <c r="L334" s="3" t="b">
        <f t="shared" si="23"/>
        <v>1</v>
      </c>
      <c r="M334" s="3" t="s">
        <v>1171</v>
      </c>
      <c r="N334" s="3" t="s">
        <v>85</v>
      </c>
      <c r="O334" s="3" t="b">
        <f>FALSE()</f>
        <v>0</v>
      </c>
      <c r="P334" s="3" t="s">
        <v>1172</v>
      </c>
    </row>
    <row r="335" customHeight="1" spans="1:16">
      <c r="A335" s="3" t="s">
        <v>745</v>
      </c>
      <c r="B335" s="3" t="s">
        <v>746</v>
      </c>
      <c r="C335" s="3">
        <v>47135</v>
      </c>
      <c r="D335" s="3">
        <v>0</v>
      </c>
      <c r="E335" s="3">
        <v>410000</v>
      </c>
      <c r="F335" s="3">
        <v>60</v>
      </c>
      <c r="G335" s="3">
        <v>10.59</v>
      </c>
      <c r="H335" s="3">
        <v>8830.78975248458</v>
      </c>
      <c r="I335" s="12">
        <v>18.7351007796427</v>
      </c>
      <c r="J335" s="3">
        <v>686</v>
      </c>
      <c r="K335" s="3" t="b">
        <f>TRUE()</f>
        <v>1</v>
      </c>
      <c r="L335" s="3" t="b">
        <f>FALSE()</f>
        <v>0</v>
      </c>
      <c r="M335" s="3" t="s">
        <v>1171</v>
      </c>
      <c r="N335" s="3" t="s">
        <v>85</v>
      </c>
      <c r="O335" s="3" t="b">
        <f>FALSE()</f>
        <v>0</v>
      </c>
      <c r="P335" s="3" t="s">
        <v>1172</v>
      </c>
    </row>
    <row r="336" customHeight="1" spans="1:16">
      <c r="A336" s="3" t="s">
        <v>747</v>
      </c>
      <c r="B336" s="3" t="s">
        <v>748</v>
      </c>
      <c r="C336" s="3">
        <v>23807</v>
      </c>
      <c r="D336" s="3">
        <v>7358</v>
      </c>
      <c r="E336" s="3">
        <v>1190000</v>
      </c>
      <c r="F336" s="3">
        <v>84</v>
      </c>
      <c r="G336" s="3">
        <v>11.13</v>
      </c>
      <c r="H336" s="3">
        <v>20457.1302965524</v>
      </c>
      <c r="I336" s="12">
        <v>116.835931854297</v>
      </c>
      <c r="J336" s="3">
        <v>643</v>
      </c>
      <c r="K336" s="3" t="b">
        <f>FALSE()</f>
        <v>0</v>
      </c>
      <c r="L336" s="3" t="b">
        <f>FALSE()</f>
        <v>0</v>
      </c>
      <c r="M336" s="3" t="s">
        <v>1171</v>
      </c>
      <c r="N336" s="3" t="s">
        <v>91</v>
      </c>
      <c r="O336" s="3" t="b">
        <f>TRUE()</f>
        <v>1</v>
      </c>
      <c r="P336" s="3" t="s">
        <v>1173</v>
      </c>
    </row>
    <row r="337" customHeight="1" spans="1:16">
      <c r="A337" s="3" t="s">
        <v>749</v>
      </c>
      <c r="B337" s="3" t="s">
        <v>440</v>
      </c>
      <c r="C337" s="3">
        <v>28934</v>
      </c>
      <c r="D337" s="3">
        <v>4071</v>
      </c>
      <c r="E337" s="3">
        <v>180000</v>
      </c>
      <c r="F337" s="3">
        <v>36</v>
      </c>
      <c r="G337" s="3">
        <v>13.97</v>
      </c>
      <c r="H337" s="3">
        <v>6149.35095220671</v>
      </c>
      <c r="I337" s="12">
        <v>35.3229797200757</v>
      </c>
      <c r="J337" s="3">
        <v>772</v>
      </c>
      <c r="K337" s="3" t="b">
        <f>TRUE()</f>
        <v>1</v>
      </c>
      <c r="L337" s="3" t="b">
        <f>TRUE()</f>
        <v>1</v>
      </c>
      <c r="M337" s="3" t="s">
        <v>1174</v>
      </c>
      <c r="N337" s="3" t="s">
        <v>85</v>
      </c>
      <c r="O337" s="3" t="b">
        <f>TRUE()</f>
        <v>1</v>
      </c>
      <c r="P337" s="3" t="s">
        <v>1175</v>
      </c>
    </row>
    <row r="338" customHeight="1" spans="1:16">
      <c r="A338" s="3" t="s">
        <v>750</v>
      </c>
      <c r="B338" s="3" t="s">
        <v>751</v>
      </c>
      <c r="C338" s="3">
        <v>92842</v>
      </c>
      <c r="D338" s="3">
        <v>0</v>
      </c>
      <c r="E338" s="3">
        <v>540000</v>
      </c>
      <c r="F338" s="3">
        <v>60</v>
      </c>
      <c r="G338" s="3">
        <v>14.26</v>
      </c>
      <c r="H338" s="3">
        <v>12637.7626329344</v>
      </c>
      <c r="I338" s="12">
        <v>13.6121180424101</v>
      </c>
      <c r="J338" s="3">
        <v>630</v>
      </c>
      <c r="K338" s="3" t="b">
        <f>TRUE()</f>
        <v>1</v>
      </c>
      <c r="L338" s="3" t="b">
        <f>FALSE()</f>
        <v>0</v>
      </c>
      <c r="M338" s="3" t="s">
        <v>1171</v>
      </c>
      <c r="N338" s="3" t="s">
        <v>85</v>
      </c>
      <c r="O338" s="3" t="b">
        <f>FALSE()</f>
        <v>0</v>
      </c>
      <c r="P338" s="3" t="s">
        <v>1172</v>
      </c>
    </row>
    <row r="339" customHeight="1" spans="1:16">
      <c r="A339" s="3" t="s">
        <v>752</v>
      </c>
      <c r="B339" s="3" t="s">
        <v>753</v>
      </c>
      <c r="C339" s="3">
        <v>91058</v>
      </c>
      <c r="D339" s="3">
        <v>0</v>
      </c>
      <c r="E339" s="3">
        <v>570000</v>
      </c>
      <c r="F339" s="3">
        <v>84</v>
      </c>
      <c r="G339" s="3">
        <v>11.48</v>
      </c>
      <c r="H339" s="3">
        <v>9904.23826185225</v>
      </c>
      <c r="I339" s="12">
        <v>10.8768458145932</v>
      </c>
      <c r="J339" s="3">
        <v>670</v>
      </c>
      <c r="K339" s="3" t="b">
        <f>TRUE()</f>
        <v>1</v>
      </c>
      <c r="L339" s="3" t="b">
        <f>FALSE()</f>
        <v>0</v>
      </c>
      <c r="M339" s="3" t="s">
        <v>1171</v>
      </c>
      <c r="N339" s="3" t="s">
        <v>85</v>
      </c>
      <c r="O339" s="3" t="b">
        <f>FALSE()</f>
        <v>0</v>
      </c>
      <c r="P339" s="3" t="s">
        <v>1172</v>
      </c>
    </row>
    <row r="340" customHeight="1" spans="1:16">
      <c r="A340" s="3" t="s">
        <v>754</v>
      </c>
      <c r="B340" s="3" t="s">
        <v>755</v>
      </c>
      <c r="C340" s="3">
        <v>27589</v>
      </c>
      <c r="D340" s="3">
        <v>10264</v>
      </c>
      <c r="E340" s="3">
        <v>1260000</v>
      </c>
      <c r="F340" s="3">
        <v>84</v>
      </c>
      <c r="G340" s="3">
        <v>11.47</v>
      </c>
      <c r="H340" s="3">
        <v>21886.900356311</v>
      </c>
      <c r="I340" s="12">
        <v>116.535214601149</v>
      </c>
      <c r="J340" s="3">
        <v>788</v>
      </c>
      <c r="K340" s="3" t="b">
        <f>FALSE()</f>
        <v>0</v>
      </c>
      <c r="L340" s="3" t="b">
        <f>TRUE()</f>
        <v>1</v>
      </c>
      <c r="M340" s="3" t="s">
        <v>1171</v>
      </c>
      <c r="N340" s="3" t="s">
        <v>85</v>
      </c>
      <c r="O340" s="3" t="b">
        <f>FALSE()</f>
        <v>0</v>
      </c>
      <c r="P340" s="3" t="s">
        <v>1172</v>
      </c>
    </row>
    <row r="341" customHeight="1" spans="1:16">
      <c r="A341" s="3" t="s">
        <v>756</v>
      </c>
      <c r="B341" s="3" t="s">
        <v>757</v>
      </c>
      <c r="C341" s="3">
        <v>36966</v>
      </c>
      <c r="D341" s="3">
        <v>3723</v>
      </c>
      <c r="E341" s="3">
        <v>5140000</v>
      </c>
      <c r="F341" s="3">
        <v>240</v>
      </c>
      <c r="G341" s="3">
        <v>8.59</v>
      </c>
      <c r="H341" s="3">
        <v>44899.3325793716</v>
      </c>
      <c r="I341" s="12">
        <v>131.532577447848</v>
      </c>
      <c r="J341" s="3">
        <v>603</v>
      </c>
      <c r="K341" s="3" t="b">
        <f>FALSE()</f>
        <v>0</v>
      </c>
      <c r="L341" s="3" t="b">
        <f>FALSE()</f>
        <v>0</v>
      </c>
      <c r="M341" s="3" t="s">
        <v>1171</v>
      </c>
      <c r="N341" s="3" t="s">
        <v>91</v>
      </c>
      <c r="O341" s="3" t="b">
        <f>TRUE()</f>
        <v>1</v>
      </c>
      <c r="P341" s="3" t="s">
        <v>1173</v>
      </c>
    </row>
    <row r="342" customHeight="1" spans="1:16">
      <c r="A342" s="3" t="s">
        <v>758</v>
      </c>
      <c r="B342" s="3" t="s">
        <v>672</v>
      </c>
      <c r="C342" s="3">
        <v>38388</v>
      </c>
      <c r="D342" s="3">
        <v>0</v>
      </c>
      <c r="E342" s="3">
        <v>110000</v>
      </c>
      <c r="F342" s="3">
        <v>36</v>
      </c>
      <c r="G342" s="3">
        <v>14.41</v>
      </c>
      <c r="H342" s="3">
        <v>3781.48108307566</v>
      </c>
      <c r="I342" s="12">
        <v>9.85068532634069</v>
      </c>
      <c r="J342" s="3">
        <v>667</v>
      </c>
      <c r="K342" s="3" t="b">
        <f t="shared" ref="K342:K349" si="24">TRUE()</f>
        <v>1</v>
      </c>
      <c r="L342" s="3" t="b">
        <f>FALSE()</f>
        <v>0</v>
      </c>
      <c r="M342" s="3" t="s">
        <v>1171</v>
      </c>
      <c r="N342" s="3" t="s">
        <v>85</v>
      </c>
      <c r="O342" s="3" t="b">
        <f>FALSE()</f>
        <v>0</v>
      </c>
      <c r="P342" s="3" t="s">
        <v>1172</v>
      </c>
    </row>
    <row r="343" customHeight="1" spans="1:16">
      <c r="A343" s="3" t="s">
        <v>759</v>
      </c>
      <c r="B343" s="3" t="s">
        <v>102</v>
      </c>
      <c r="C343" s="3">
        <v>118100</v>
      </c>
      <c r="D343" s="3">
        <v>0</v>
      </c>
      <c r="E343" s="3">
        <v>240000</v>
      </c>
      <c r="F343" s="3">
        <v>60</v>
      </c>
      <c r="G343" s="3">
        <v>10.42</v>
      </c>
      <c r="H343" s="3">
        <v>5149.02991413007</v>
      </c>
      <c r="I343" s="12">
        <v>4.35988985108389</v>
      </c>
      <c r="J343" s="3">
        <v>628</v>
      </c>
      <c r="K343" s="3" t="b">
        <f t="shared" si="24"/>
        <v>1</v>
      </c>
      <c r="L343" s="3" t="b">
        <f>FALSE()</f>
        <v>0</v>
      </c>
      <c r="M343" s="3" t="s">
        <v>1171</v>
      </c>
      <c r="N343" s="3" t="s">
        <v>85</v>
      </c>
      <c r="O343" s="3" t="b">
        <f>FALSE()</f>
        <v>0</v>
      </c>
      <c r="P343" s="3" t="s">
        <v>1172</v>
      </c>
    </row>
    <row r="344" customHeight="1" spans="1:16">
      <c r="A344" s="3" t="s">
        <v>760</v>
      </c>
      <c r="B344" s="3" t="s">
        <v>761</v>
      </c>
      <c r="C344" s="3">
        <v>133387</v>
      </c>
      <c r="D344" s="3">
        <v>40792</v>
      </c>
      <c r="E344" s="3">
        <v>740000</v>
      </c>
      <c r="F344" s="3">
        <v>60</v>
      </c>
      <c r="G344" s="3">
        <v>9.25</v>
      </c>
      <c r="H344" s="3">
        <v>15451.1247381031</v>
      </c>
      <c r="I344" s="12">
        <v>42.1653719913508</v>
      </c>
      <c r="J344" s="3">
        <v>736</v>
      </c>
      <c r="K344" s="3" t="b">
        <f t="shared" si="24"/>
        <v>1</v>
      </c>
      <c r="L344" s="3" t="b">
        <f t="shared" ref="L344:L353" si="25">TRUE()</f>
        <v>1</v>
      </c>
      <c r="M344" s="3" t="s">
        <v>1174</v>
      </c>
      <c r="N344" s="3" t="s">
        <v>85</v>
      </c>
      <c r="O344" s="3" t="b">
        <f t="shared" ref="O344:O349" si="26">TRUE()</f>
        <v>1</v>
      </c>
      <c r="P344" s="3" t="s">
        <v>1175</v>
      </c>
    </row>
    <row r="345" customHeight="1" spans="1:16">
      <c r="A345" s="3" t="s">
        <v>762</v>
      </c>
      <c r="B345" s="3" t="s">
        <v>763</v>
      </c>
      <c r="C345" s="3">
        <v>45555</v>
      </c>
      <c r="D345" s="3">
        <v>5998</v>
      </c>
      <c r="E345" s="3">
        <v>420000</v>
      </c>
      <c r="F345" s="3">
        <v>36</v>
      </c>
      <c r="G345" s="3">
        <v>13.54</v>
      </c>
      <c r="H345" s="3">
        <v>14260.947828974</v>
      </c>
      <c r="I345" s="12">
        <v>44.4714034221798</v>
      </c>
      <c r="J345" s="3">
        <v>774</v>
      </c>
      <c r="K345" s="3" t="b">
        <f t="shared" si="24"/>
        <v>1</v>
      </c>
      <c r="L345" s="3" t="b">
        <f t="shared" si="25"/>
        <v>1</v>
      </c>
      <c r="M345" s="3" t="s">
        <v>1174</v>
      </c>
      <c r="N345" s="3" t="s">
        <v>85</v>
      </c>
      <c r="O345" s="3" t="b">
        <f t="shared" si="26"/>
        <v>1</v>
      </c>
      <c r="P345" s="3" t="s">
        <v>1175</v>
      </c>
    </row>
    <row r="346" customHeight="1" spans="1:16">
      <c r="A346" s="3" t="s">
        <v>764</v>
      </c>
      <c r="B346" s="3" t="s">
        <v>765</v>
      </c>
      <c r="C346" s="3">
        <v>93803</v>
      </c>
      <c r="D346" s="3">
        <v>16418</v>
      </c>
      <c r="E346" s="3">
        <v>260000</v>
      </c>
      <c r="F346" s="3">
        <v>48</v>
      </c>
      <c r="G346" s="3">
        <v>11.41</v>
      </c>
      <c r="H346" s="3">
        <v>6771.72141607762</v>
      </c>
      <c r="I346" s="12">
        <v>24.7217268275829</v>
      </c>
      <c r="J346" s="3">
        <v>705</v>
      </c>
      <c r="K346" s="3" t="b">
        <f t="shared" si="24"/>
        <v>1</v>
      </c>
      <c r="L346" s="3" t="b">
        <f t="shared" si="25"/>
        <v>1</v>
      </c>
      <c r="M346" s="3" t="s">
        <v>1174</v>
      </c>
      <c r="N346" s="3" t="s">
        <v>85</v>
      </c>
      <c r="O346" s="3" t="b">
        <f t="shared" si="26"/>
        <v>1</v>
      </c>
      <c r="P346" s="3" t="s">
        <v>1175</v>
      </c>
    </row>
    <row r="347" customHeight="1" spans="1:16">
      <c r="A347" s="3" t="s">
        <v>766</v>
      </c>
      <c r="B347" s="3" t="s">
        <v>767</v>
      </c>
      <c r="C347" s="3">
        <v>64433</v>
      </c>
      <c r="D347" s="3">
        <v>0</v>
      </c>
      <c r="E347" s="3">
        <v>500000</v>
      </c>
      <c r="F347" s="3">
        <v>60</v>
      </c>
      <c r="G347" s="3">
        <v>9.13</v>
      </c>
      <c r="H347" s="3">
        <v>10410.7525876065</v>
      </c>
      <c r="I347" s="12">
        <v>16.1574854307676</v>
      </c>
      <c r="J347" s="3">
        <v>794</v>
      </c>
      <c r="K347" s="3" t="b">
        <f t="shared" si="24"/>
        <v>1</v>
      </c>
      <c r="L347" s="3" t="b">
        <f t="shared" si="25"/>
        <v>1</v>
      </c>
      <c r="M347" s="3" t="s">
        <v>1174</v>
      </c>
      <c r="N347" s="3" t="s">
        <v>85</v>
      </c>
      <c r="O347" s="3" t="b">
        <f t="shared" si="26"/>
        <v>1</v>
      </c>
      <c r="P347" s="3" t="s">
        <v>1175</v>
      </c>
    </row>
    <row r="348" customHeight="1" spans="1:16">
      <c r="A348" s="3" t="s">
        <v>768</v>
      </c>
      <c r="B348" s="3" t="s">
        <v>386</v>
      </c>
      <c r="C348" s="3">
        <v>70401</v>
      </c>
      <c r="D348" s="3">
        <v>0</v>
      </c>
      <c r="E348" s="3">
        <v>500000</v>
      </c>
      <c r="F348" s="3">
        <v>60</v>
      </c>
      <c r="G348" s="3">
        <v>9.03</v>
      </c>
      <c r="H348" s="3">
        <v>10386.4591006693</v>
      </c>
      <c r="I348" s="12">
        <v>14.7532834770376</v>
      </c>
      <c r="J348" s="3">
        <v>740</v>
      </c>
      <c r="K348" s="3" t="b">
        <f t="shared" si="24"/>
        <v>1</v>
      </c>
      <c r="L348" s="3" t="b">
        <f t="shared" si="25"/>
        <v>1</v>
      </c>
      <c r="M348" s="3" t="s">
        <v>1174</v>
      </c>
      <c r="N348" s="3" t="s">
        <v>85</v>
      </c>
      <c r="O348" s="3" t="b">
        <f t="shared" si="26"/>
        <v>1</v>
      </c>
      <c r="P348" s="3" t="s">
        <v>1175</v>
      </c>
    </row>
    <row r="349" customHeight="1" spans="1:16">
      <c r="A349" s="3" t="s">
        <v>769</v>
      </c>
      <c r="B349" s="3" t="s">
        <v>243</v>
      </c>
      <c r="C349" s="3">
        <v>53967</v>
      </c>
      <c r="D349" s="3">
        <v>0</v>
      </c>
      <c r="E349" s="3">
        <v>780000</v>
      </c>
      <c r="F349" s="3">
        <v>60</v>
      </c>
      <c r="G349" s="3">
        <v>9.28</v>
      </c>
      <c r="H349" s="3">
        <v>16297.7191223717</v>
      </c>
      <c r="I349" s="12">
        <v>30.1994165367201</v>
      </c>
      <c r="J349" s="3">
        <v>727</v>
      </c>
      <c r="K349" s="3" t="b">
        <f t="shared" si="24"/>
        <v>1</v>
      </c>
      <c r="L349" s="3" t="b">
        <f t="shared" si="25"/>
        <v>1</v>
      </c>
      <c r="M349" s="3" t="s">
        <v>1174</v>
      </c>
      <c r="N349" s="3" t="s">
        <v>85</v>
      </c>
      <c r="O349" s="3" t="b">
        <f t="shared" si="26"/>
        <v>1</v>
      </c>
      <c r="P349" s="3" t="s">
        <v>1175</v>
      </c>
    </row>
    <row r="350" customHeight="1" spans="1:16">
      <c r="A350" s="3" t="s">
        <v>770</v>
      </c>
      <c r="B350" s="3" t="s">
        <v>771</v>
      </c>
      <c r="C350" s="3">
        <v>61775</v>
      </c>
      <c r="D350" s="3">
        <v>25717</v>
      </c>
      <c r="E350" s="3">
        <v>1200000</v>
      </c>
      <c r="F350" s="3">
        <v>60</v>
      </c>
      <c r="G350" s="3">
        <v>14.84</v>
      </c>
      <c r="H350" s="3">
        <v>28447.2320306897</v>
      </c>
      <c r="I350" s="12">
        <v>87.6798575972313</v>
      </c>
      <c r="J350" s="3">
        <v>797</v>
      </c>
      <c r="K350" s="3" t="b">
        <f>FALSE()</f>
        <v>0</v>
      </c>
      <c r="L350" s="3" t="b">
        <f t="shared" si="25"/>
        <v>1</v>
      </c>
      <c r="M350" s="3" t="s">
        <v>1171</v>
      </c>
      <c r="N350" s="3" t="s">
        <v>85</v>
      </c>
      <c r="O350" s="3" t="b">
        <f>FALSE()</f>
        <v>0</v>
      </c>
      <c r="P350" s="3" t="s">
        <v>1172</v>
      </c>
    </row>
    <row r="351" customHeight="1" spans="1:16">
      <c r="A351" s="3" t="s">
        <v>772</v>
      </c>
      <c r="B351" s="3" t="s">
        <v>668</v>
      </c>
      <c r="C351" s="3">
        <v>60873</v>
      </c>
      <c r="D351" s="3">
        <v>0</v>
      </c>
      <c r="E351" s="3">
        <v>3520000</v>
      </c>
      <c r="F351" s="3">
        <v>240</v>
      </c>
      <c r="G351" s="3">
        <v>9.38</v>
      </c>
      <c r="H351" s="3">
        <v>32535.6776763335</v>
      </c>
      <c r="I351" s="12">
        <v>53.4484544483327</v>
      </c>
      <c r="J351" s="3">
        <v>802</v>
      </c>
      <c r="K351" s="3" t="b">
        <f>FALSE()</f>
        <v>0</v>
      </c>
      <c r="L351" s="3" t="b">
        <f t="shared" si="25"/>
        <v>1</v>
      </c>
      <c r="M351" s="3" t="s">
        <v>1171</v>
      </c>
      <c r="N351" s="3" t="s">
        <v>85</v>
      </c>
      <c r="O351" s="3" t="b">
        <f>FALSE()</f>
        <v>0</v>
      </c>
      <c r="P351" s="3" t="s">
        <v>1172</v>
      </c>
    </row>
    <row r="352" customHeight="1" spans="1:16">
      <c r="A352" s="3" t="s">
        <v>773</v>
      </c>
      <c r="B352" s="3" t="s">
        <v>774</v>
      </c>
      <c r="C352" s="3">
        <v>41784</v>
      </c>
      <c r="D352" s="3">
        <v>0</v>
      </c>
      <c r="E352" s="3">
        <v>1560000</v>
      </c>
      <c r="F352" s="3">
        <v>60</v>
      </c>
      <c r="G352" s="3">
        <v>14.83</v>
      </c>
      <c r="H352" s="3">
        <v>36973.2296170127</v>
      </c>
      <c r="I352" s="12">
        <v>88.4865728915679</v>
      </c>
      <c r="J352" s="3">
        <v>747</v>
      </c>
      <c r="K352" s="3" t="b">
        <f>FALSE()</f>
        <v>0</v>
      </c>
      <c r="L352" s="3" t="b">
        <f t="shared" si="25"/>
        <v>1</v>
      </c>
      <c r="M352" s="3" t="s">
        <v>1171</v>
      </c>
      <c r="N352" s="3" t="s">
        <v>91</v>
      </c>
      <c r="O352" s="3" t="b">
        <f>TRUE()</f>
        <v>1</v>
      </c>
      <c r="P352" s="3" t="s">
        <v>1173</v>
      </c>
    </row>
    <row r="353" customHeight="1" spans="1:16">
      <c r="A353" s="3" t="s">
        <v>775</v>
      </c>
      <c r="B353" s="3" t="s">
        <v>776</v>
      </c>
      <c r="C353" s="3">
        <v>119938</v>
      </c>
      <c r="D353" s="3">
        <v>0</v>
      </c>
      <c r="E353" s="3">
        <v>280000</v>
      </c>
      <c r="F353" s="3">
        <v>48</v>
      </c>
      <c r="G353" s="3">
        <v>11.24</v>
      </c>
      <c r="H353" s="3">
        <v>7269.42399878348</v>
      </c>
      <c r="I353" s="12">
        <v>6.06098484115416</v>
      </c>
      <c r="J353" s="3">
        <v>739</v>
      </c>
      <c r="K353" s="3" t="b">
        <f>TRUE()</f>
        <v>1</v>
      </c>
      <c r="L353" s="3" t="b">
        <f t="shared" si="25"/>
        <v>1</v>
      </c>
      <c r="M353" s="3" t="s">
        <v>1174</v>
      </c>
      <c r="N353" s="3" t="s">
        <v>85</v>
      </c>
      <c r="O353" s="3" t="b">
        <f>TRUE()</f>
        <v>1</v>
      </c>
      <c r="P353" s="3" t="s">
        <v>1175</v>
      </c>
    </row>
    <row r="354" customHeight="1" spans="1:16">
      <c r="A354" s="3" t="s">
        <v>777</v>
      </c>
      <c r="B354" s="3" t="s">
        <v>286</v>
      </c>
      <c r="C354" s="3">
        <v>33440</v>
      </c>
      <c r="D354" s="3">
        <v>0</v>
      </c>
      <c r="E354" s="3">
        <v>720000</v>
      </c>
      <c r="F354" s="3">
        <v>48</v>
      </c>
      <c r="G354" s="3">
        <v>11.27</v>
      </c>
      <c r="H354" s="3">
        <v>18703.3237616375</v>
      </c>
      <c r="I354" s="12">
        <v>55.9309921101601</v>
      </c>
      <c r="J354" s="3">
        <v>692</v>
      </c>
      <c r="K354" s="3" t="b">
        <f>FALSE()</f>
        <v>0</v>
      </c>
      <c r="L354" s="3" t="b">
        <f>FALSE()</f>
        <v>0</v>
      </c>
      <c r="M354" s="3" t="s">
        <v>1171</v>
      </c>
      <c r="N354" s="3" t="s">
        <v>85</v>
      </c>
      <c r="O354" s="3" t="b">
        <f>FALSE()</f>
        <v>0</v>
      </c>
      <c r="P354" s="3" t="s">
        <v>1172</v>
      </c>
    </row>
    <row r="355" customHeight="1" spans="1:16">
      <c r="A355" s="3" t="s">
        <v>778</v>
      </c>
      <c r="B355" s="3" t="s">
        <v>779</v>
      </c>
      <c r="C355" s="3">
        <v>260817</v>
      </c>
      <c r="D355" s="3">
        <v>0</v>
      </c>
      <c r="E355" s="3">
        <v>260000</v>
      </c>
      <c r="F355" s="3">
        <v>48</v>
      </c>
      <c r="G355" s="3">
        <v>10.68</v>
      </c>
      <c r="H355" s="3">
        <v>6679.50301717075</v>
      </c>
      <c r="I355" s="12">
        <v>2.56099219650972</v>
      </c>
      <c r="J355" s="3">
        <v>740</v>
      </c>
      <c r="K355" s="3" t="b">
        <f>TRUE()</f>
        <v>1</v>
      </c>
      <c r="L355" s="3" t="b">
        <f>TRUE()</f>
        <v>1</v>
      </c>
      <c r="M355" s="3" t="s">
        <v>1174</v>
      </c>
      <c r="N355" s="3" t="s">
        <v>91</v>
      </c>
      <c r="O355" s="3" t="b">
        <f>FALSE()</f>
        <v>0</v>
      </c>
      <c r="P355" s="3" t="s">
        <v>1176</v>
      </c>
    </row>
    <row r="356" customHeight="1" spans="1:16">
      <c r="A356" s="3" t="s">
        <v>780</v>
      </c>
      <c r="B356" s="3" t="s">
        <v>781</v>
      </c>
      <c r="C356" s="3">
        <v>109783</v>
      </c>
      <c r="D356" s="3">
        <v>6469</v>
      </c>
      <c r="E356" s="3">
        <v>430000</v>
      </c>
      <c r="F356" s="3">
        <v>36</v>
      </c>
      <c r="G356" s="3">
        <v>14.14</v>
      </c>
      <c r="H356" s="3">
        <v>14725.6363197836</v>
      </c>
      <c r="I356" s="12">
        <v>19.3059365473558</v>
      </c>
      <c r="J356" s="3">
        <v>720</v>
      </c>
      <c r="K356" s="3" t="b">
        <f>TRUE()</f>
        <v>1</v>
      </c>
      <c r="L356" s="3" t="b">
        <f>TRUE()</f>
        <v>1</v>
      </c>
      <c r="M356" s="3" t="s">
        <v>1174</v>
      </c>
      <c r="N356" s="3" t="s">
        <v>85</v>
      </c>
      <c r="O356" s="3" t="b">
        <f>TRUE()</f>
        <v>1</v>
      </c>
      <c r="P356" s="3" t="s">
        <v>1175</v>
      </c>
    </row>
    <row r="357" customHeight="1" spans="1:16">
      <c r="A357" s="3" t="s">
        <v>782</v>
      </c>
      <c r="B357" s="3" t="s">
        <v>783</v>
      </c>
      <c r="C357" s="3">
        <v>45908</v>
      </c>
      <c r="D357" s="3">
        <v>0</v>
      </c>
      <c r="E357" s="3">
        <v>1200000</v>
      </c>
      <c r="F357" s="3">
        <v>84</v>
      </c>
      <c r="G357" s="3">
        <v>10.59</v>
      </c>
      <c r="H357" s="3">
        <v>20289.1476962795</v>
      </c>
      <c r="I357" s="12">
        <v>44.1952332845681</v>
      </c>
      <c r="J357" s="3">
        <v>770</v>
      </c>
      <c r="K357" s="3" t="b">
        <f>TRUE()</f>
        <v>1</v>
      </c>
      <c r="L357" s="3" t="b">
        <f>TRUE()</f>
        <v>1</v>
      </c>
      <c r="M357" s="3" t="s">
        <v>1174</v>
      </c>
      <c r="N357" s="3" t="s">
        <v>85</v>
      </c>
      <c r="O357" s="3" t="b">
        <f>TRUE()</f>
        <v>1</v>
      </c>
      <c r="P357" s="3" t="s">
        <v>1175</v>
      </c>
    </row>
    <row r="358" customHeight="1" spans="1:16">
      <c r="A358" s="3" t="s">
        <v>784</v>
      </c>
      <c r="B358" s="3" t="s">
        <v>785</v>
      </c>
      <c r="C358" s="3">
        <v>29471</v>
      </c>
      <c r="D358" s="3">
        <v>49</v>
      </c>
      <c r="E358" s="3">
        <v>400000</v>
      </c>
      <c r="F358" s="3">
        <v>48</v>
      </c>
      <c r="G358" s="3">
        <v>11.35</v>
      </c>
      <c r="H358" s="3">
        <v>10406.3288582504</v>
      </c>
      <c r="I358" s="12">
        <v>35.476668108481</v>
      </c>
      <c r="J358" s="3">
        <v>613</v>
      </c>
      <c r="K358" s="3" t="b">
        <f>TRUE()</f>
        <v>1</v>
      </c>
      <c r="L358" s="3" t="b">
        <f>FALSE()</f>
        <v>0</v>
      </c>
      <c r="M358" s="3" t="s">
        <v>1171</v>
      </c>
      <c r="N358" s="3" t="s">
        <v>85</v>
      </c>
      <c r="O358" s="3" t="b">
        <f>FALSE()</f>
        <v>0</v>
      </c>
      <c r="P358" s="3" t="s">
        <v>1172</v>
      </c>
    </row>
    <row r="359" customHeight="1" spans="1:16">
      <c r="A359" s="3" t="s">
        <v>786</v>
      </c>
      <c r="B359" s="3" t="s">
        <v>787</v>
      </c>
      <c r="C359" s="3">
        <v>190823</v>
      </c>
      <c r="D359" s="3">
        <v>0</v>
      </c>
      <c r="E359" s="3">
        <v>4530000</v>
      </c>
      <c r="F359" s="3">
        <v>240</v>
      </c>
      <c r="G359" s="3">
        <v>9.29</v>
      </c>
      <c r="H359" s="3">
        <v>41606.2782750455</v>
      </c>
      <c r="I359" s="12">
        <v>21.8035971948064</v>
      </c>
      <c r="J359" s="3">
        <v>755</v>
      </c>
      <c r="K359" s="3" t="b">
        <f>TRUE()</f>
        <v>1</v>
      </c>
      <c r="L359" s="3" t="b">
        <f>TRUE()</f>
        <v>1</v>
      </c>
      <c r="M359" s="3" t="s">
        <v>1174</v>
      </c>
      <c r="N359" s="3" t="s">
        <v>85</v>
      </c>
      <c r="O359" s="3" t="b">
        <f>TRUE()</f>
        <v>1</v>
      </c>
      <c r="P359" s="3" t="s">
        <v>1175</v>
      </c>
    </row>
    <row r="360" customHeight="1" spans="1:16">
      <c r="A360" s="3" t="s">
        <v>788</v>
      </c>
      <c r="B360" s="3" t="s">
        <v>789</v>
      </c>
      <c r="C360" s="3">
        <v>49708</v>
      </c>
      <c r="D360" s="3">
        <v>12273</v>
      </c>
      <c r="E360" s="3">
        <v>1020000</v>
      </c>
      <c r="F360" s="3">
        <v>60</v>
      </c>
      <c r="G360" s="3">
        <v>14.23</v>
      </c>
      <c r="H360" s="3">
        <v>23855.4165435233</v>
      </c>
      <c r="I360" s="12">
        <v>72.6812918313415</v>
      </c>
      <c r="J360" s="3">
        <v>711</v>
      </c>
      <c r="K360" s="3" t="b">
        <f>FALSE()</f>
        <v>0</v>
      </c>
      <c r="L360" s="3" t="b">
        <f>TRUE()</f>
        <v>1</v>
      </c>
      <c r="M360" s="3" t="s">
        <v>1171</v>
      </c>
      <c r="N360" s="3" t="s">
        <v>85</v>
      </c>
      <c r="O360" s="3" t="b">
        <f>FALSE()</f>
        <v>0</v>
      </c>
      <c r="P360" s="3" t="s">
        <v>1172</v>
      </c>
    </row>
    <row r="361" customHeight="1" spans="1:16">
      <c r="A361" s="3" t="s">
        <v>790</v>
      </c>
      <c r="B361" s="3" t="s">
        <v>258</v>
      </c>
      <c r="C361" s="3">
        <v>151694</v>
      </c>
      <c r="D361" s="3">
        <v>0</v>
      </c>
      <c r="E361" s="3">
        <v>1120000</v>
      </c>
      <c r="F361" s="3">
        <v>240</v>
      </c>
      <c r="G361" s="3">
        <v>8.76</v>
      </c>
      <c r="H361" s="3">
        <v>9904.70745341879</v>
      </c>
      <c r="I361" s="12">
        <v>6.52939961594973</v>
      </c>
      <c r="J361" s="3">
        <v>690</v>
      </c>
      <c r="K361" s="3" t="b">
        <f>TRUE()</f>
        <v>1</v>
      </c>
      <c r="L361" s="3" t="b">
        <f>FALSE()</f>
        <v>0</v>
      </c>
      <c r="M361" s="3" t="s">
        <v>1171</v>
      </c>
      <c r="N361" s="3" t="s">
        <v>85</v>
      </c>
      <c r="O361" s="3" t="b">
        <f>FALSE()</f>
        <v>0</v>
      </c>
      <c r="P361" s="3" t="s">
        <v>1172</v>
      </c>
    </row>
    <row r="362" customHeight="1" spans="1:16">
      <c r="A362" s="3" t="s">
        <v>791</v>
      </c>
      <c r="B362" s="3" t="s">
        <v>792</v>
      </c>
      <c r="C362" s="3">
        <v>140268</v>
      </c>
      <c r="D362" s="3">
        <v>0</v>
      </c>
      <c r="E362" s="3">
        <v>370000</v>
      </c>
      <c r="F362" s="3">
        <v>84</v>
      </c>
      <c r="G362" s="3">
        <v>11.46</v>
      </c>
      <c r="H362" s="3">
        <v>6425.14471123965</v>
      </c>
      <c r="I362" s="12">
        <v>4.58062046314174</v>
      </c>
      <c r="J362" s="3">
        <v>735</v>
      </c>
      <c r="K362" s="3" t="b">
        <f>TRUE()</f>
        <v>1</v>
      </c>
      <c r="L362" s="3" t="b">
        <f>TRUE()</f>
        <v>1</v>
      </c>
      <c r="M362" s="3" t="s">
        <v>1174</v>
      </c>
      <c r="N362" s="3" t="s">
        <v>85</v>
      </c>
      <c r="O362" s="3" t="b">
        <f>TRUE()</f>
        <v>1</v>
      </c>
      <c r="P362" s="3" t="s">
        <v>1175</v>
      </c>
    </row>
    <row r="363" customHeight="1" spans="1:16">
      <c r="A363" s="3" t="s">
        <v>793</v>
      </c>
      <c r="B363" s="3" t="s">
        <v>794</v>
      </c>
      <c r="C363" s="3">
        <v>277868</v>
      </c>
      <c r="D363" s="3">
        <v>68693</v>
      </c>
      <c r="E363" s="3">
        <v>460000</v>
      </c>
      <c r="F363" s="3">
        <v>36</v>
      </c>
      <c r="G363" s="3">
        <v>14.27</v>
      </c>
      <c r="H363" s="3">
        <v>15782.0998759562</v>
      </c>
      <c r="I363" s="12">
        <v>30.4011616580377</v>
      </c>
      <c r="J363" s="3">
        <v>719</v>
      </c>
      <c r="K363" s="3" t="b">
        <f>TRUE()</f>
        <v>1</v>
      </c>
      <c r="L363" s="3" t="b">
        <f>TRUE()</f>
        <v>1</v>
      </c>
      <c r="M363" s="3" t="s">
        <v>1174</v>
      </c>
      <c r="N363" s="3" t="s">
        <v>85</v>
      </c>
      <c r="O363" s="3" t="b">
        <f>TRUE()</f>
        <v>1</v>
      </c>
      <c r="P363" s="3" t="s">
        <v>1175</v>
      </c>
    </row>
    <row r="364" customHeight="1" spans="1:16">
      <c r="A364" s="3" t="s">
        <v>795</v>
      </c>
      <c r="B364" s="3" t="s">
        <v>796</v>
      </c>
      <c r="C364" s="3">
        <v>80561</v>
      </c>
      <c r="D364" s="3">
        <v>4212</v>
      </c>
      <c r="E364" s="3">
        <v>130000</v>
      </c>
      <c r="F364" s="3">
        <v>36</v>
      </c>
      <c r="G364" s="3">
        <v>13.14</v>
      </c>
      <c r="H364" s="3">
        <v>4388.9851556931</v>
      </c>
      <c r="I364" s="12">
        <v>10.6763634459516</v>
      </c>
      <c r="J364" s="3">
        <v>715</v>
      </c>
      <c r="K364" s="3" t="b">
        <f>TRUE()</f>
        <v>1</v>
      </c>
      <c r="L364" s="3" t="b">
        <f>TRUE()</f>
        <v>1</v>
      </c>
      <c r="M364" s="3" t="s">
        <v>1174</v>
      </c>
      <c r="N364" s="3" t="s">
        <v>85</v>
      </c>
      <c r="O364" s="3" t="b">
        <f>TRUE()</f>
        <v>1</v>
      </c>
      <c r="P364" s="3" t="s">
        <v>1175</v>
      </c>
    </row>
    <row r="365" customHeight="1" spans="1:16">
      <c r="A365" s="3" t="s">
        <v>797</v>
      </c>
      <c r="B365" s="3" t="s">
        <v>798</v>
      </c>
      <c r="C365" s="3">
        <v>61113</v>
      </c>
      <c r="D365" s="3">
        <v>0</v>
      </c>
      <c r="E365" s="3">
        <v>510000</v>
      </c>
      <c r="F365" s="3">
        <v>48</v>
      </c>
      <c r="G365" s="3">
        <v>11.6</v>
      </c>
      <c r="H365" s="3">
        <v>13330.3122193237</v>
      </c>
      <c r="I365" s="12">
        <v>21.8125639705524</v>
      </c>
      <c r="J365" s="3">
        <v>693</v>
      </c>
      <c r="K365" s="3" t="b">
        <f>TRUE()</f>
        <v>1</v>
      </c>
      <c r="L365" s="3" t="b">
        <f>FALSE()</f>
        <v>0</v>
      </c>
      <c r="M365" s="3" t="s">
        <v>1171</v>
      </c>
      <c r="N365" s="3" t="s">
        <v>85</v>
      </c>
      <c r="O365" s="3" t="b">
        <f>FALSE()</f>
        <v>0</v>
      </c>
      <c r="P365" s="3" t="s">
        <v>1172</v>
      </c>
    </row>
    <row r="366" customHeight="1" spans="1:16">
      <c r="A366" s="3" t="s">
        <v>799</v>
      </c>
      <c r="B366" s="3" t="s">
        <v>800</v>
      </c>
      <c r="C366" s="3">
        <v>48436</v>
      </c>
      <c r="D366" s="3">
        <v>20503</v>
      </c>
      <c r="E366" s="3">
        <v>400000</v>
      </c>
      <c r="F366" s="3">
        <v>60</v>
      </c>
      <c r="G366" s="3">
        <v>9.12</v>
      </c>
      <c r="H366" s="3">
        <v>8326.65738059019</v>
      </c>
      <c r="I366" s="12">
        <v>59.5211358918783</v>
      </c>
      <c r="J366" s="3">
        <v>738</v>
      </c>
      <c r="K366" s="3" t="b">
        <f>FALSE()</f>
        <v>0</v>
      </c>
      <c r="L366" s="3" t="b">
        <f>TRUE()</f>
        <v>1</v>
      </c>
      <c r="M366" s="3" t="s">
        <v>1171</v>
      </c>
      <c r="N366" s="3" t="s">
        <v>85</v>
      </c>
      <c r="O366" s="3" t="b">
        <f>FALSE()</f>
        <v>0</v>
      </c>
      <c r="P366" s="3" t="s">
        <v>1172</v>
      </c>
    </row>
    <row r="367" customHeight="1" spans="1:16">
      <c r="A367" s="3" t="s">
        <v>801</v>
      </c>
      <c r="B367" s="3" t="s">
        <v>478</v>
      </c>
      <c r="C367" s="3">
        <v>19412</v>
      </c>
      <c r="D367" s="3">
        <v>3276</v>
      </c>
      <c r="E367" s="3">
        <v>690000</v>
      </c>
      <c r="F367" s="3">
        <v>60</v>
      </c>
      <c r="G367" s="3">
        <v>10.25</v>
      </c>
      <c r="H367" s="3">
        <v>14745.4820458602</v>
      </c>
      <c r="I367" s="12">
        <v>92.8368125173099</v>
      </c>
      <c r="J367" s="3">
        <v>601</v>
      </c>
      <c r="K367" s="3" t="b">
        <f>FALSE()</f>
        <v>0</v>
      </c>
      <c r="L367" s="3" t="b">
        <f>FALSE()</f>
        <v>0</v>
      </c>
      <c r="M367" s="3" t="s">
        <v>1171</v>
      </c>
      <c r="N367" s="3" t="s">
        <v>91</v>
      </c>
      <c r="O367" s="3" t="b">
        <f>TRUE()</f>
        <v>1</v>
      </c>
      <c r="P367" s="3" t="s">
        <v>1173</v>
      </c>
    </row>
    <row r="368" customHeight="1" spans="1:16">
      <c r="A368" s="3" t="s">
        <v>802</v>
      </c>
      <c r="B368" s="3" t="s">
        <v>803</v>
      </c>
      <c r="C368" s="3">
        <v>54423</v>
      </c>
      <c r="D368" s="3">
        <v>8586</v>
      </c>
      <c r="E368" s="3">
        <v>330000</v>
      </c>
      <c r="F368" s="3">
        <v>48</v>
      </c>
      <c r="G368" s="3">
        <v>11.55</v>
      </c>
      <c r="H368" s="3">
        <v>8617.43232956616</v>
      </c>
      <c r="I368" s="12">
        <v>31.6105917159403</v>
      </c>
      <c r="J368" s="3">
        <v>708</v>
      </c>
      <c r="K368" s="3" t="b">
        <f>TRUE()</f>
        <v>1</v>
      </c>
      <c r="L368" s="3" t="b">
        <f>TRUE()</f>
        <v>1</v>
      </c>
      <c r="M368" s="3" t="s">
        <v>1174</v>
      </c>
      <c r="N368" s="3" t="s">
        <v>91</v>
      </c>
      <c r="O368" s="3" t="b">
        <f>FALSE()</f>
        <v>0</v>
      </c>
      <c r="P368" s="3" t="s">
        <v>1176</v>
      </c>
    </row>
    <row r="369" customHeight="1" spans="1:16">
      <c r="A369" s="3" t="s">
        <v>804</v>
      </c>
      <c r="B369" s="3" t="s">
        <v>591</v>
      </c>
      <c r="C369" s="3">
        <v>45296</v>
      </c>
      <c r="D369" s="3">
        <v>0</v>
      </c>
      <c r="E369" s="3">
        <v>720000</v>
      </c>
      <c r="F369" s="3">
        <v>48</v>
      </c>
      <c r="G369" s="3">
        <v>11.25</v>
      </c>
      <c r="H369" s="3">
        <v>18696.3105796321</v>
      </c>
      <c r="I369" s="12">
        <v>41.2758534520314</v>
      </c>
      <c r="J369" s="3">
        <v>666</v>
      </c>
      <c r="K369" s="3" t="b">
        <f>TRUE()</f>
        <v>1</v>
      </c>
      <c r="L369" s="3" t="b">
        <f>FALSE()</f>
        <v>0</v>
      </c>
      <c r="M369" s="3" t="s">
        <v>1171</v>
      </c>
      <c r="N369" s="3" t="s">
        <v>85</v>
      </c>
      <c r="O369" s="3" t="b">
        <f>FALSE()</f>
        <v>0</v>
      </c>
      <c r="P369" s="3" t="s">
        <v>1172</v>
      </c>
    </row>
    <row r="370" customHeight="1" spans="1:16">
      <c r="A370" s="3" t="s">
        <v>805</v>
      </c>
      <c r="B370" s="3" t="s">
        <v>806</v>
      </c>
      <c r="C370" s="3">
        <v>92947</v>
      </c>
      <c r="D370" s="3">
        <v>0</v>
      </c>
      <c r="E370" s="3">
        <v>310000</v>
      </c>
      <c r="F370" s="3">
        <v>48</v>
      </c>
      <c r="G370" s="3">
        <v>10.91</v>
      </c>
      <c r="H370" s="3">
        <v>7998.56967452784</v>
      </c>
      <c r="I370" s="12">
        <v>8.60551677249167</v>
      </c>
      <c r="J370" s="3">
        <v>693</v>
      </c>
      <c r="K370" s="3" t="b">
        <f>TRUE()</f>
        <v>1</v>
      </c>
      <c r="L370" s="3" t="b">
        <f>FALSE()</f>
        <v>0</v>
      </c>
      <c r="M370" s="3" t="s">
        <v>1171</v>
      </c>
      <c r="N370" s="3" t="s">
        <v>85</v>
      </c>
      <c r="O370" s="3" t="b">
        <f>FALSE()</f>
        <v>0</v>
      </c>
      <c r="P370" s="3" t="s">
        <v>1172</v>
      </c>
    </row>
    <row r="371" customHeight="1" spans="1:16">
      <c r="A371" s="3" t="s">
        <v>807</v>
      </c>
      <c r="B371" s="3" t="s">
        <v>124</v>
      </c>
      <c r="C371" s="3">
        <v>63242</v>
      </c>
      <c r="D371" s="3">
        <v>0</v>
      </c>
      <c r="E371" s="3">
        <v>1540000</v>
      </c>
      <c r="F371" s="3">
        <v>60</v>
      </c>
      <c r="G371" s="3">
        <v>14.05</v>
      </c>
      <c r="H371" s="3">
        <v>35873.0384899283</v>
      </c>
      <c r="I371" s="12">
        <v>56.7234408935965</v>
      </c>
      <c r="J371" s="3">
        <v>735</v>
      </c>
      <c r="K371" s="3" t="b">
        <f>FALSE()</f>
        <v>0</v>
      </c>
      <c r="L371" s="3" t="b">
        <f>TRUE()</f>
        <v>1</v>
      </c>
      <c r="M371" s="3" t="s">
        <v>1171</v>
      </c>
      <c r="N371" s="3" t="s">
        <v>85</v>
      </c>
      <c r="O371" s="3" t="b">
        <f>FALSE()</f>
        <v>0</v>
      </c>
      <c r="P371" s="3" t="s">
        <v>1172</v>
      </c>
    </row>
    <row r="372" customHeight="1" spans="1:16">
      <c r="A372" s="3" t="s">
        <v>808</v>
      </c>
      <c r="B372" s="3" t="s">
        <v>809</v>
      </c>
      <c r="C372" s="3">
        <v>32751</v>
      </c>
      <c r="D372" s="3">
        <v>1767</v>
      </c>
      <c r="E372" s="3">
        <v>390000</v>
      </c>
      <c r="F372" s="3">
        <v>48</v>
      </c>
      <c r="G372" s="3">
        <v>11.67</v>
      </c>
      <c r="H372" s="3">
        <v>10207.1188884777</v>
      </c>
      <c r="I372" s="12">
        <v>36.5610787105056</v>
      </c>
      <c r="J372" s="3">
        <v>684</v>
      </c>
      <c r="K372" s="3" t="b">
        <f>TRUE()</f>
        <v>1</v>
      </c>
      <c r="L372" s="3" t="b">
        <f>FALSE()</f>
        <v>0</v>
      </c>
      <c r="M372" s="3" t="s">
        <v>1171</v>
      </c>
      <c r="N372" s="3" t="s">
        <v>85</v>
      </c>
      <c r="O372" s="3" t="b">
        <f>FALSE()</f>
        <v>0</v>
      </c>
      <c r="P372" s="3" t="s">
        <v>1172</v>
      </c>
    </row>
    <row r="373" customHeight="1" spans="1:16">
      <c r="A373" s="3" t="s">
        <v>810</v>
      </c>
      <c r="B373" s="3" t="s">
        <v>811</v>
      </c>
      <c r="C373" s="3">
        <v>41803</v>
      </c>
      <c r="D373" s="3">
        <v>6793</v>
      </c>
      <c r="E373" s="3">
        <v>330000</v>
      </c>
      <c r="F373" s="3">
        <v>36</v>
      </c>
      <c r="G373" s="3">
        <v>13.38</v>
      </c>
      <c r="H373" s="3">
        <v>11179.5007289763</v>
      </c>
      <c r="I373" s="12">
        <v>42.9933275816959</v>
      </c>
      <c r="J373" s="3">
        <v>722</v>
      </c>
      <c r="K373" s="3" t="b">
        <f>TRUE()</f>
        <v>1</v>
      </c>
      <c r="L373" s="3" t="b">
        <f>TRUE()</f>
        <v>1</v>
      </c>
      <c r="M373" s="3" t="s">
        <v>1174</v>
      </c>
      <c r="N373" s="3" t="s">
        <v>85</v>
      </c>
      <c r="O373" s="3" t="b">
        <f>TRUE()</f>
        <v>1</v>
      </c>
      <c r="P373" s="3" t="s">
        <v>1175</v>
      </c>
    </row>
    <row r="374" customHeight="1" spans="1:16">
      <c r="A374" s="3" t="s">
        <v>812</v>
      </c>
      <c r="B374" s="3" t="s">
        <v>813</v>
      </c>
      <c r="C374" s="3">
        <v>101258</v>
      </c>
      <c r="D374" s="3">
        <v>45079</v>
      </c>
      <c r="E374" s="3">
        <v>960000</v>
      </c>
      <c r="F374" s="3">
        <v>60</v>
      </c>
      <c r="G374" s="3">
        <v>14.54</v>
      </c>
      <c r="H374" s="3">
        <v>22607.1873785272</v>
      </c>
      <c r="I374" s="12">
        <v>66.8452738336993</v>
      </c>
      <c r="J374" s="3">
        <v>771</v>
      </c>
      <c r="K374" s="3" t="b">
        <f>FALSE()</f>
        <v>0</v>
      </c>
      <c r="L374" s="3" t="b">
        <f>TRUE()</f>
        <v>1</v>
      </c>
      <c r="M374" s="3" t="s">
        <v>1171</v>
      </c>
      <c r="N374" s="3" t="s">
        <v>85</v>
      </c>
      <c r="O374" s="3" t="b">
        <f>FALSE()</f>
        <v>0</v>
      </c>
      <c r="P374" s="3" t="s">
        <v>1172</v>
      </c>
    </row>
    <row r="375" customHeight="1" spans="1:16">
      <c r="A375" s="3" t="s">
        <v>814</v>
      </c>
      <c r="B375" s="3" t="s">
        <v>815</v>
      </c>
      <c r="C375" s="3">
        <v>53994</v>
      </c>
      <c r="D375" s="3">
        <v>17236</v>
      </c>
      <c r="E375" s="3">
        <v>720000</v>
      </c>
      <c r="F375" s="3">
        <v>60</v>
      </c>
      <c r="G375" s="3">
        <v>9.65</v>
      </c>
      <c r="H375" s="3">
        <v>15174.1731154186</v>
      </c>
      <c r="I375" s="12">
        <v>60.025508603583</v>
      </c>
      <c r="J375" s="3">
        <v>732</v>
      </c>
      <c r="K375" s="3" t="b">
        <f>FALSE()</f>
        <v>0</v>
      </c>
      <c r="L375" s="3" t="b">
        <f>TRUE()</f>
        <v>1</v>
      </c>
      <c r="M375" s="3" t="s">
        <v>1171</v>
      </c>
      <c r="N375" s="3" t="s">
        <v>85</v>
      </c>
      <c r="O375" s="3" t="b">
        <f>FALSE()</f>
        <v>0</v>
      </c>
      <c r="P375" s="3" t="s">
        <v>1172</v>
      </c>
    </row>
    <row r="376" customHeight="1" spans="1:16">
      <c r="A376" s="3" t="s">
        <v>816</v>
      </c>
      <c r="B376" s="3" t="s">
        <v>817</v>
      </c>
      <c r="C376" s="3">
        <v>36448</v>
      </c>
      <c r="D376" s="3">
        <v>7281</v>
      </c>
      <c r="E376" s="3">
        <v>210000</v>
      </c>
      <c r="F376" s="3">
        <v>60</v>
      </c>
      <c r="G376" s="3">
        <v>10.38</v>
      </c>
      <c r="H376" s="3">
        <v>4501.24558478064</v>
      </c>
      <c r="I376" s="12">
        <v>32.3261786237397</v>
      </c>
      <c r="J376" s="3">
        <v>843</v>
      </c>
      <c r="K376" s="3" t="b">
        <f>TRUE()</f>
        <v>1</v>
      </c>
      <c r="L376" s="3" t="b">
        <f>TRUE()</f>
        <v>1</v>
      </c>
      <c r="M376" s="3" t="s">
        <v>1174</v>
      </c>
      <c r="N376" s="3" t="s">
        <v>85</v>
      </c>
      <c r="O376" s="3" t="b">
        <f>TRUE()</f>
        <v>1</v>
      </c>
      <c r="P376" s="3" t="s">
        <v>1175</v>
      </c>
    </row>
    <row r="377" customHeight="1" spans="1:16">
      <c r="A377" s="3" t="s">
        <v>818</v>
      </c>
      <c r="B377" s="3" t="s">
        <v>819</v>
      </c>
      <c r="C377" s="3">
        <v>63569</v>
      </c>
      <c r="D377" s="3">
        <v>8121</v>
      </c>
      <c r="E377" s="3">
        <v>1550000</v>
      </c>
      <c r="F377" s="3">
        <v>60</v>
      </c>
      <c r="G377" s="3">
        <v>14.89</v>
      </c>
      <c r="H377" s="3">
        <v>36784.9545738596</v>
      </c>
      <c r="I377" s="12">
        <v>70.641278884141</v>
      </c>
      <c r="J377" s="3">
        <v>659</v>
      </c>
      <c r="K377" s="3" t="b">
        <f>FALSE()</f>
        <v>0</v>
      </c>
      <c r="L377" s="3" t="b">
        <f>FALSE()</f>
        <v>0</v>
      </c>
      <c r="M377" s="3" t="s">
        <v>1171</v>
      </c>
      <c r="N377" s="3" t="s">
        <v>85</v>
      </c>
      <c r="O377" s="3" t="b">
        <f>FALSE()</f>
        <v>0</v>
      </c>
      <c r="P377" s="3" t="s">
        <v>1172</v>
      </c>
    </row>
    <row r="378" customHeight="1" spans="1:16">
      <c r="A378" s="3" t="s">
        <v>820</v>
      </c>
      <c r="B378" s="3" t="s">
        <v>821</v>
      </c>
      <c r="C378" s="3">
        <v>25747</v>
      </c>
      <c r="D378" s="3">
        <v>0</v>
      </c>
      <c r="E378" s="3">
        <v>5150000</v>
      </c>
      <c r="F378" s="3">
        <v>240</v>
      </c>
      <c r="G378" s="3">
        <v>9.8</v>
      </c>
      <c r="H378" s="3">
        <v>49018.1299602861</v>
      </c>
      <c r="I378" s="12">
        <v>190.383850391448</v>
      </c>
      <c r="J378" s="3">
        <v>759</v>
      </c>
      <c r="K378" s="3" t="b">
        <f>FALSE()</f>
        <v>0</v>
      </c>
      <c r="L378" s="3" t="b">
        <f>TRUE()</f>
        <v>1</v>
      </c>
      <c r="M378" s="3" t="s">
        <v>1171</v>
      </c>
      <c r="N378" s="3" t="s">
        <v>91</v>
      </c>
      <c r="O378" s="3" t="b">
        <f>TRUE()</f>
        <v>1</v>
      </c>
      <c r="P378" s="3" t="s">
        <v>1173</v>
      </c>
    </row>
    <row r="379" customHeight="1" spans="1:16">
      <c r="A379" s="3" t="s">
        <v>822</v>
      </c>
      <c r="B379" s="3" t="s">
        <v>823</v>
      </c>
      <c r="C379" s="3">
        <v>44605</v>
      </c>
      <c r="D379" s="3">
        <v>16112</v>
      </c>
      <c r="E379" s="3">
        <v>1840000</v>
      </c>
      <c r="F379" s="3">
        <v>60</v>
      </c>
      <c r="G379" s="3">
        <v>15.15</v>
      </c>
      <c r="H379" s="3">
        <v>43918.4805669865</v>
      </c>
      <c r="I379" s="12">
        <v>134.58240234724</v>
      </c>
      <c r="J379" s="3">
        <v>672</v>
      </c>
      <c r="K379" s="3" t="b">
        <f>FALSE()</f>
        <v>0</v>
      </c>
      <c r="L379" s="3" t="b">
        <f>FALSE()</f>
        <v>0</v>
      </c>
      <c r="M379" s="3" t="s">
        <v>1171</v>
      </c>
      <c r="N379" s="3" t="s">
        <v>85</v>
      </c>
      <c r="O379" s="3" t="b">
        <f>FALSE()</f>
        <v>0</v>
      </c>
      <c r="P379" s="3" t="s">
        <v>1172</v>
      </c>
    </row>
    <row r="380" customHeight="1" spans="1:16">
      <c r="A380" s="3" t="s">
        <v>824</v>
      </c>
      <c r="B380" s="3" t="s">
        <v>825</v>
      </c>
      <c r="C380" s="3">
        <v>53403</v>
      </c>
      <c r="D380" s="3">
        <v>21407</v>
      </c>
      <c r="E380" s="3">
        <v>790000</v>
      </c>
      <c r="F380" s="3">
        <v>60</v>
      </c>
      <c r="G380" s="3">
        <v>14.59</v>
      </c>
      <c r="H380" s="3">
        <v>18624.4543186487</v>
      </c>
      <c r="I380" s="12">
        <v>74.9610589641944</v>
      </c>
      <c r="J380" s="3">
        <v>817</v>
      </c>
      <c r="K380" s="3" t="b">
        <f>FALSE()</f>
        <v>0</v>
      </c>
      <c r="L380" s="3" t="b">
        <f>TRUE()</f>
        <v>1</v>
      </c>
      <c r="M380" s="3" t="s">
        <v>1171</v>
      </c>
      <c r="N380" s="3" t="s">
        <v>85</v>
      </c>
      <c r="O380" s="3" t="b">
        <f>FALSE()</f>
        <v>0</v>
      </c>
      <c r="P380" s="3" t="s">
        <v>1172</v>
      </c>
    </row>
    <row r="381" customHeight="1" spans="1:16">
      <c r="A381" s="3" t="s">
        <v>826</v>
      </c>
      <c r="B381" s="3" t="s">
        <v>827</v>
      </c>
      <c r="C381" s="3">
        <v>93052</v>
      </c>
      <c r="D381" s="3">
        <v>6667</v>
      </c>
      <c r="E381" s="3">
        <v>4180000</v>
      </c>
      <c r="F381" s="3">
        <v>240</v>
      </c>
      <c r="G381" s="3">
        <v>9.36</v>
      </c>
      <c r="H381" s="3">
        <v>38581.7371280253</v>
      </c>
      <c r="I381" s="12">
        <v>48.6273665563613</v>
      </c>
      <c r="J381" s="3">
        <v>786</v>
      </c>
      <c r="K381" s="3" t="b">
        <f>TRUE()</f>
        <v>1</v>
      </c>
      <c r="L381" s="3" t="b">
        <f>TRUE()</f>
        <v>1</v>
      </c>
      <c r="M381" s="3" t="s">
        <v>1174</v>
      </c>
      <c r="N381" s="3" t="s">
        <v>85</v>
      </c>
      <c r="O381" s="3" t="b">
        <f>TRUE()</f>
        <v>1</v>
      </c>
      <c r="P381" s="3" t="s">
        <v>1175</v>
      </c>
    </row>
    <row r="382" customHeight="1" spans="1:16">
      <c r="A382" s="3" t="s">
        <v>828</v>
      </c>
      <c r="B382" s="3" t="s">
        <v>829</v>
      </c>
      <c r="C382" s="3">
        <v>146015</v>
      </c>
      <c r="D382" s="3">
        <v>65171</v>
      </c>
      <c r="E382" s="3">
        <v>90000</v>
      </c>
      <c r="F382" s="3">
        <v>36</v>
      </c>
      <c r="G382" s="3">
        <v>14.22</v>
      </c>
      <c r="H382" s="3">
        <v>3085.61211017226</v>
      </c>
      <c r="I382" s="12">
        <v>46.7463014828424</v>
      </c>
      <c r="J382" s="3">
        <v>697</v>
      </c>
      <c r="K382" s="3" t="b">
        <f>TRUE()</f>
        <v>1</v>
      </c>
      <c r="L382" s="3" t="b">
        <f>FALSE()</f>
        <v>0</v>
      </c>
      <c r="M382" s="3" t="s">
        <v>1171</v>
      </c>
      <c r="N382" s="3" t="s">
        <v>85</v>
      </c>
      <c r="O382" s="3" t="b">
        <f>FALSE()</f>
        <v>0</v>
      </c>
      <c r="P382" s="3" t="s">
        <v>1172</v>
      </c>
    </row>
    <row r="383" customHeight="1" spans="1:16">
      <c r="A383" s="3" t="s">
        <v>830</v>
      </c>
      <c r="B383" s="3" t="s">
        <v>831</v>
      </c>
      <c r="C383" s="3">
        <v>26393</v>
      </c>
      <c r="D383" s="3">
        <v>0</v>
      </c>
      <c r="E383" s="3">
        <v>440000</v>
      </c>
      <c r="F383" s="3">
        <v>36</v>
      </c>
      <c r="G383" s="3">
        <v>13.75</v>
      </c>
      <c r="H383" s="3">
        <v>14984.7864193518</v>
      </c>
      <c r="I383" s="12">
        <v>56.7756087574426</v>
      </c>
      <c r="J383" s="3">
        <v>735</v>
      </c>
      <c r="K383" s="3" t="b">
        <f>FALSE()</f>
        <v>0</v>
      </c>
      <c r="L383" s="3" t="b">
        <f>TRUE()</f>
        <v>1</v>
      </c>
      <c r="M383" s="3" t="s">
        <v>1171</v>
      </c>
      <c r="N383" s="3" t="s">
        <v>85</v>
      </c>
      <c r="O383" s="3" t="b">
        <f>FALSE()</f>
        <v>0</v>
      </c>
      <c r="P383" s="3" t="s">
        <v>1172</v>
      </c>
    </row>
    <row r="384" customHeight="1" spans="1:16">
      <c r="A384" s="3" t="s">
        <v>832</v>
      </c>
      <c r="B384" s="3" t="s">
        <v>480</v>
      </c>
      <c r="C384" s="3">
        <v>29589</v>
      </c>
      <c r="D384" s="3">
        <v>10870</v>
      </c>
      <c r="E384" s="3">
        <v>1440000</v>
      </c>
      <c r="F384" s="3">
        <v>84</v>
      </c>
      <c r="G384" s="3">
        <v>11.59</v>
      </c>
      <c r="H384" s="3">
        <v>25105.282996044</v>
      </c>
      <c r="I384" s="12">
        <v>121.583301213437</v>
      </c>
      <c r="J384" s="3">
        <v>620</v>
      </c>
      <c r="K384" s="3" t="b">
        <f>FALSE()</f>
        <v>0</v>
      </c>
      <c r="L384" s="3" t="b">
        <f>FALSE()</f>
        <v>0</v>
      </c>
      <c r="M384" s="3" t="s">
        <v>1171</v>
      </c>
      <c r="N384" s="3" t="s">
        <v>91</v>
      </c>
      <c r="O384" s="3" t="b">
        <f>TRUE()</f>
        <v>1</v>
      </c>
      <c r="P384" s="3" t="s">
        <v>1173</v>
      </c>
    </row>
    <row r="385" customHeight="1" spans="1:16">
      <c r="A385" s="3" t="s">
        <v>833</v>
      </c>
      <c r="B385" s="3" t="s">
        <v>834</v>
      </c>
      <c r="C385" s="3">
        <v>31621</v>
      </c>
      <c r="D385" s="3">
        <v>9304</v>
      </c>
      <c r="E385" s="3">
        <v>1050000</v>
      </c>
      <c r="F385" s="3">
        <v>84</v>
      </c>
      <c r="G385" s="3">
        <v>10.69</v>
      </c>
      <c r="H385" s="3">
        <v>17807.8697989994</v>
      </c>
      <c r="I385" s="12">
        <v>85.7400771607456</v>
      </c>
      <c r="J385" s="3">
        <v>702</v>
      </c>
      <c r="K385" s="3" t="b">
        <f>FALSE()</f>
        <v>0</v>
      </c>
      <c r="L385" s="3" t="b">
        <f>TRUE()</f>
        <v>1</v>
      </c>
      <c r="M385" s="3" t="s">
        <v>1171</v>
      </c>
      <c r="N385" s="3" t="s">
        <v>85</v>
      </c>
      <c r="O385" s="3" t="b">
        <f>FALSE()</f>
        <v>0</v>
      </c>
      <c r="P385" s="3" t="s">
        <v>1172</v>
      </c>
    </row>
    <row r="386" customHeight="1" spans="1:16">
      <c r="A386" s="3" t="s">
        <v>835</v>
      </c>
      <c r="B386" s="3" t="s">
        <v>836</v>
      </c>
      <c r="C386" s="3">
        <v>89366</v>
      </c>
      <c r="D386" s="3">
        <v>32353</v>
      </c>
      <c r="E386" s="3">
        <v>320000</v>
      </c>
      <c r="F386" s="3">
        <v>60</v>
      </c>
      <c r="G386" s="3">
        <v>10.16</v>
      </c>
      <c r="H386" s="3">
        <v>6824.27418535645</v>
      </c>
      <c r="I386" s="12">
        <v>43.8391269446506</v>
      </c>
      <c r="J386" s="3">
        <v>792</v>
      </c>
      <c r="K386" s="3" t="b">
        <f>TRUE()</f>
        <v>1</v>
      </c>
      <c r="L386" s="3" t="b">
        <f>TRUE()</f>
        <v>1</v>
      </c>
      <c r="M386" s="3" t="s">
        <v>1174</v>
      </c>
      <c r="N386" s="3" t="s">
        <v>85</v>
      </c>
      <c r="O386" s="3" t="b">
        <f>TRUE()</f>
        <v>1</v>
      </c>
      <c r="P386" s="3" t="s">
        <v>1175</v>
      </c>
    </row>
    <row r="387" customHeight="1" spans="1:16">
      <c r="A387" s="3" t="s">
        <v>837</v>
      </c>
      <c r="B387" s="3" t="s">
        <v>838</v>
      </c>
      <c r="C387" s="3">
        <v>59376</v>
      </c>
      <c r="D387" s="3">
        <v>9402</v>
      </c>
      <c r="E387" s="3">
        <v>1190000</v>
      </c>
      <c r="F387" s="3">
        <v>84</v>
      </c>
      <c r="G387" s="3">
        <v>11.27</v>
      </c>
      <c r="H387" s="3">
        <v>20545.0282543388</v>
      </c>
      <c r="I387" s="12">
        <v>50.4362507651893</v>
      </c>
      <c r="J387" s="3">
        <v>610</v>
      </c>
      <c r="K387" s="3" t="b">
        <f>FALSE()</f>
        <v>0</v>
      </c>
      <c r="L387" s="3" t="b">
        <f>FALSE()</f>
        <v>0</v>
      </c>
      <c r="M387" s="3" t="s">
        <v>1171</v>
      </c>
      <c r="N387" s="3" t="s">
        <v>85</v>
      </c>
      <c r="O387" s="3" t="b">
        <f>FALSE()</f>
        <v>0</v>
      </c>
      <c r="P387" s="3" t="s">
        <v>1172</v>
      </c>
    </row>
    <row r="388" customHeight="1" spans="1:16">
      <c r="A388" s="3" t="s">
        <v>839</v>
      </c>
      <c r="B388" s="3" t="s">
        <v>87</v>
      </c>
      <c r="C388" s="3">
        <v>124219</v>
      </c>
      <c r="D388" s="3">
        <v>34713</v>
      </c>
      <c r="E388" s="3">
        <v>870000</v>
      </c>
      <c r="F388" s="3">
        <v>84</v>
      </c>
      <c r="G388" s="3">
        <v>10.94</v>
      </c>
      <c r="H388" s="3">
        <v>14869.0875177691</v>
      </c>
      <c r="I388" s="12">
        <v>39.9150593047514</v>
      </c>
      <c r="J388" s="3">
        <v>679</v>
      </c>
      <c r="K388" s="3" t="b">
        <f>TRUE()</f>
        <v>1</v>
      </c>
      <c r="L388" s="3" t="b">
        <f>FALSE()</f>
        <v>0</v>
      </c>
      <c r="M388" s="3" t="s">
        <v>1171</v>
      </c>
      <c r="N388" s="3" t="s">
        <v>85</v>
      </c>
      <c r="O388" s="3" t="b">
        <f>FALSE()</f>
        <v>0</v>
      </c>
      <c r="P388" s="3" t="s">
        <v>1172</v>
      </c>
    </row>
    <row r="389" customHeight="1" spans="1:16">
      <c r="A389" s="3" t="s">
        <v>840</v>
      </c>
      <c r="B389" s="3" t="s">
        <v>841</v>
      </c>
      <c r="C389" s="3">
        <v>48155</v>
      </c>
      <c r="D389" s="3">
        <v>14328</v>
      </c>
      <c r="E389" s="3">
        <v>930000</v>
      </c>
      <c r="F389" s="3">
        <v>60</v>
      </c>
      <c r="G389" s="3">
        <v>13.77</v>
      </c>
      <c r="H389" s="3">
        <v>21528.7395924886</v>
      </c>
      <c r="I389" s="12">
        <v>74.461093536473</v>
      </c>
      <c r="J389" s="3">
        <v>617</v>
      </c>
      <c r="K389" s="3" t="b">
        <f>FALSE()</f>
        <v>0</v>
      </c>
      <c r="L389" s="3" t="b">
        <f>FALSE()</f>
        <v>0</v>
      </c>
      <c r="M389" s="3" t="s">
        <v>1171</v>
      </c>
      <c r="N389" s="3" t="s">
        <v>85</v>
      </c>
      <c r="O389" s="3" t="b">
        <f>FALSE()</f>
        <v>0</v>
      </c>
      <c r="P389" s="3" t="s">
        <v>1172</v>
      </c>
    </row>
    <row r="390" customHeight="1" spans="1:16">
      <c r="A390" s="3" t="s">
        <v>842</v>
      </c>
      <c r="B390" s="3" t="s">
        <v>843</v>
      </c>
      <c r="C390" s="3">
        <v>25291</v>
      </c>
      <c r="D390" s="3">
        <v>0</v>
      </c>
      <c r="E390" s="3">
        <v>570000</v>
      </c>
      <c r="F390" s="3">
        <v>48</v>
      </c>
      <c r="G390" s="3">
        <v>11.94</v>
      </c>
      <c r="H390" s="3">
        <v>14993.4997879051</v>
      </c>
      <c r="I390" s="12">
        <v>59.2839341580211</v>
      </c>
      <c r="J390" s="3">
        <v>794</v>
      </c>
      <c r="K390" s="3" t="b">
        <f>FALSE()</f>
        <v>0</v>
      </c>
      <c r="L390" s="3" t="b">
        <f>TRUE()</f>
        <v>1</v>
      </c>
      <c r="M390" s="3" t="s">
        <v>1171</v>
      </c>
      <c r="N390" s="3" t="s">
        <v>85</v>
      </c>
      <c r="O390" s="3" t="b">
        <f>FALSE()</f>
        <v>0</v>
      </c>
      <c r="P390" s="3" t="s">
        <v>1172</v>
      </c>
    </row>
    <row r="391" customHeight="1" spans="1:16">
      <c r="A391" s="3" t="s">
        <v>844</v>
      </c>
      <c r="B391" s="3" t="s">
        <v>440</v>
      </c>
      <c r="C391" s="3">
        <v>23192</v>
      </c>
      <c r="D391" s="3">
        <v>3529</v>
      </c>
      <c r="E391" s="3">
        <v>490000</v>
      </c>
      <c r="F391" s="3">
        <v>48</v>
      </c>
      <c r="G391" s="3">
        <v>10.7</v>
      </c>
      <c r="H391" s="3">
        <v>12593.0369864274</v>
      </c>
      <c r="I391" s="12">
        <v>69.5155095999802</v>
      </c>
      <c r="J391" s="3">
        <v>798</v>
      </c>
      <c r="K391" s="3" t="b">
        <f>FALSE()</f>
        <v>0</v>
      </c>
      <c r="L391" s="3" t="b">
        <f>TRUE()</f>
        <v>1</v>
      </c>
      <c r="M391" s="3" t="s">
        <v>1171</v>
      </c>
      <c r="N391" s="3" t="s">
        <v>85</v>
      </c>
      <c r="O391" s="3" t="b">
        <f>FALSE()</f>
        <v>0</v>
      </c>
      <c r="P391" s="3" t="s">
        <v>1172</v>
      </c>
    </row>
    <row r="392" customHeight="1" spans="1:16">
      <c r="A392" s="3" t="s">
        <v>845</v>
      </c>
      <c r="B392" s="3" t="s">
        <v>186</v>
      </c>
      <c r="C392" s="3">
        <v>47458</v>
      </c>
      <c r="D392" s="3">
        <v>0</v>
      </c>
      <c r="E392" s="3">
        <v>200000</v>
      </c>
      <c r="F392" s="3">
        <v>36</v>
      </c>
      <c r="G392" s="3">
        <v>14.32</v>
      </c>
      <c r="H392" s="3">
        <v>6866.65131764446</v>
      </c>
      <c r="I392" s="12">
        <v>14.4689015922383</v>
      </c>
      <c r="J392" s="3">
        <v>796</v>
      </c>
      <c r="K392" s="3" t="b">
        <f>TRUE()</f>
        <v>1</v>
      </c>
      <c r="L392" s="3" t="b">
        <f>TRUE()</f>
        <v>1</v>
      </c>
      <c r="M392" s="3" t="s">
        <v>1174</v>
      </c>
      <c r="N392" s="3" t="s">
        <v>85</v>
      </c>
      <c r="O392" s="3" t="b">
        <f>TRUE()</f>
        <v>1</v>
      </c>
      <c r="P392" s="3" t="s">
        <v>1175</v>
      </c>
    </row>
    <row r="393" customHeight="1" spans="1:16">
      <c r="A393" s="3" t="s">
        <v>846</v>
      </c>
      <c r="B393" s="3" t="s">
        <v>847</v>
      </c>
      <c r="C393" s="3">
        <v>83668</v>
      </c>
      <c r="D393" s="3">
        <v>0</v>
      </c>
      <c r="E393" s="3">
        <v>280000</v>
      </c>
      <c r="F393" s="3">
        <v>36</v>
      </c>
      <c r="G393" s="3">
        <v>13.69</v>
      </c>
      <c r="H393" s="3">
        <v>9527.63249644528</v>
      </c>
      <c r="I393" s="12">
        <v>11.3874270885467</v>
      </c>
      <c r="J393" s="3">
        <v>701</v>
      </c>
      <c r="K393" s="3" t="b">
        <f>TRUE()</f>
        <v>1</v>
      </c>
      <c r="L393" s="3" t="b">
        <f>TRUE()</f>
        <v>1</v>
      </c>
      <c r="M393" s="3" t="s">
        <v>1174</v>
      </c>
      <c r="N393" s="3" t="s">
        <v>85</v>
      </c>
      <c r="O393" s="3" t="b">
        <f>TRUE()</f>
        <v>1</v>
      </c>
      <c r="P393" s="3" t="s">
        <v>1175</v>
      </c>
    </row>
    <row r="394" customHeight="1" spans="1:16">
      <c r="A394" s="3" t="s">
        <v>848</v>
      </c>
      <c r="B394" s="3" t="s">
        <v>836</v>
      </c>
      <c r="C394" s="3">
        <v>144830</v>
      </c>
      <c r="D394" s="3">
        <v>0</v>
      </c>
      <c r="E394" s="3">
        <v>290000</v>
      </c>
      <c r="F394" s="3">
        <v>36</v>
      </c>
      <c r="G394" s="3">
        <v>14.14</v>
      </c>
      <c r="H394" s="3">
        <v>9931.24309938896</v>
      </c>
      <c r="I394" s="12">
        <v>6.85717261574878</v>
      </c>
      <c r="J394" s="3">
        <v>690</v>
      </c>
      <c r="K394" s="3" t="b">
        <f>TRUE()</f>
        <v>1</v>
      </c>
      <c r="L394" s="3" t="b">
        <f>FALSE()</f>
        <v>0</v>
      </c>
      <c r="M394" s="3" t="s">
        <v>1171</v>
      </c>
      <c r="N394" s="3" t="s">
        <v>85</v>
      </c>
      <c r="O394" s="3" t="b">
        <f>FALSE()</f>
        <v>0</v>
      </c>
      <c r="P394" s="3" t="s">
        <v>1172</v>
      </c>
    </row>
    <row r="395" customHeight="1" spans="1:16">
      <c r="A395" s="3" t="s">
        <v>849</v>
      </c>
      <c r="B395" s="3" t="s">
        <v>850</v>
      </c>
      <c r="C395" s="3">
        <v>65372</v>
      </c>
      <c r="D395" s="3">
        <v>0</v>
      </c>
      <c r="E395" s="3">
        <v>970000</v>
      </c>
      <c r="F395" s="3">
        <v>60</v>
      </c>
      <c r="G395" s="3">
        <v>9.93</v>
      </c>
      <c r="H395" s="3">
        <v>20576.2396997009</v>
      </c>
      <c r="I395" s="12">
        <v>31.4756160125144</v>
      </c>
      <c r="J395" s="3">
        <v>654</v>
      </c>
      <c r="K395" s="3" t="b">
        <f>TRUE()</f>
        <v>1</v>
      </c>
      <c r="L395" s="3" t="b">
        <f>FALSE()</f>
        <v>0</v>
      </c>
      <c r="M395" s="3" t="s">
        <v>1171</v>
      </c>
      <c r="N395" s="3" t="s">
        <v>85</v>
      </c>
      <c r="O395" s="3" t="b">
        <f>FALSE()</f>
        <v>0</v>
      </c>
      <c r="P395" s="3" t="s">
        <v>1172</v>
      </c>
    </row>
    <row r="396" customHeight="1" spans="1:16">
      <c r="A396" s="3" t="s">
        <v>851</v>
      </c>
      <c r="B396" s="3" t="s">
        <v>852</v>
      </c>
      <c r="C396" s="3">
        <v>56389</v>
      </c>
      <c r="D396" s="3">
        <v>7202</v>
      </c>
      <c r="E396" s="3">
        <v>5370000</v>
      </c>
      <c r="F396" s="3">
        <v>240</v>
      </c>
      <c r="G396" s="3">
        <v>9.21</v>
      </c>
      <c r="H396" s="3">
        <v>49042.917957608</v>
      </c>
      <c r="I396" s="12">
        <v>99.7444855514515</v>
      </c>
      <c r="J396" s="3">
        <v>671</v>
      </c>
      <c r="K396" s="3" t="b">
        <f>FALSE()</f>
        <v>0</v>
      </c>
      <c r="L396" s="3" t="b">
        <f>FALSE()</f>
        <v>0</v>
      </c>
      <c r="M396" s="3" t="s">
        <v>1171</v>
      </c>
      <c r="N396" s="3" t="s">
        <v>91</v>
      </c>
      <c r="O396" s="3" t="b">
        <f>TRUE()</f>
        <v>1</v>
      </c>
      <c r="P396" s="3" t="s">
        <v>1173</v>
      </c>
    </row>
    <row r="397" customHeight="1" spans="1:16">
      <c r="A397" s="3" t="s">
        <v>853</v>
      </c>
      <c r="B397" s="3" t="s">
        <v>570</v>
      </c>
      <c r="C397" s="3">
        <v>47607</v>
      </c>
      <c r="D397" s="3">
        <v>0</v>
      </c>
      <c r="E397" s="3">
        <v>920000</v>
      </c>
      <c r="F397" s="3">
        <v>84</v>
      </c>
      <c r="G397" s="3">
        <v>11.3</v>
      </c>
      <c r="H397" s="3">
        <v>15898.1341417983</v>
      </c>
      <c r="I397" s="12">
        <v>33.3945305139965</v>
      </c>
      <c r="J397" s="3">
        <v>721</v>
      </c>
      <c r="K397" s="3" t="b">
        <f>TRUE()</f>
        <v>1</v>
      </c>
      <c r="L397" s="3" t="b">
        <f>TRUE()</f>
        <v>1</v>
      </c>
      <c r="M397" s="3" t="s">
        <v>1174</v>
      </c>
      <c r="N397" s="3" t="s">
        <v>85</v>
      </c>
      <c r="O397" s="3" t="b">
        <f>TRUE()</f>
        <v>1</v>
      </c>
      <c r="P397" s="3" t="s">
        <v>1175</v>
      </c>
    </row>
    <row r="398" customHeight="1" spans="1:16">
      <c r="A398" s="3" t="s">
        <v>854</v>
      </c>
      <c r="B398" s="3" t="s">
        <v>855</v>
      </c>
      <c r="C398" s="3">
        <v>111175</v>
      </c>
      <c r="D398" s="3">
        <v>0</v>
      </c>
      <c r="E398" s="3">
        <v>300000</v>
      </c>
      <c r="F398" s="3">
        <v>36</v>
      </c>
      <c r="G398" s="3">
        <v>13.12</v>
      </c>
      <c r="H398" s="3">
        <v>10125.5341612233</v>
      </c>
      <c r="I398" s="12">
        <v>9.10774379242034</v>
      </c>
      <c r="J398" s="3">
        <v>709</v>
      </c>
      <c r="K398" s="3" t="b">
        <f>TRUE()</f>
        <v>1</v>
      </c>
      <c r="L398" s="3" t="b">
        <f>TRUE()</f>
        <v>1</v>
      </c>
      <c r="M398" s="3" t="s">
        <v>1174</v>
      </c>
      <c r="N398" s="3" t="s">
        <v>85</v>
      </c>
      <c r="O398" s="3" t="b">
        <f>TRUE()</f>
        <v>1</v>
      </c>
      <c r="P398" s="3" t="s">
        <v>1175</v>
      </c>
    </row>
    <row r="399" customHeight="1" spans="1:16">
      <c r="A399" s="3" t="s">
        <v>856</v>
      </c>
      <c r="B399" s="3" t="s">
        <v>207</v>
      </c>
      <c r="C399" s="3">
        <v>94680</v>
      </c>
      <c r="D399" s="3">
        <v>0</v>
      </c>
      <c r="E399" s="3">
        <v>370000</v>
      </c>
      <c r="F399" s="3">
        <v>36</v>
      </c>
      <c r="G399" s="3">
        <v>13.2</v>
      </c>
      <c r="H399" s="3">
        <v>12502.4351115074</v>
      </c>
      <c r="I399" s="12">
        <v>13.204937802606</v>
      </c>
      <c r="J399" s="3">
        <v>686</v>
      </c>
      <c r="K399" s="3" t="b">
        <f>TRUE()</f>
        <v>1</v>
      </c>
      <c r="L399" s="3" t="b">
        <f>FALSE()</f>
        <v>0</v>
      </c>
      <c r="M399" s="3" t="s">
        <v>1171</v>
      </c>
      <c r="N399" s="3" t="s">
        <v>85</v>
      </c>
      <c r="O399" s="3" t="b">
        <f>FALSE()</f>
        <v>0</v>
      </c>
      <c r="P399" s="3" t="s">
        <v>1172</v>
      </c>
    </row>
    <row r="400" customHeight="1" spans="1:16">
      <c r="A400" s="3" t="s">
        <v>857</v>
      </c>
      <c r="B400" s="3" t="s">
        <v>858</v>
      </c>
      <c r="C400" s="3">
        <v>69653</v>
      </c>
      <c r="D400" s="3">
        <v>29060</v>
      </c>
      <c r="E400" s="3">
        <v>680000</v>
      </c>
      <c r="F400" s="3">
        <v>60</v>
      </c>
      <c r="G400" s="3">
        <v>14.02</v>
      </c>
      <c r="H400" s="3">
        <v>15829.4622082944</v>
      </c>
      <c r="I400" s="12">
        <v>64.4472775161076</v>
      </c>
      <c r="J400" s="3">
        <v>723</v>
      </c>
      <c r="K400" s="3" t="b">
        <f>FALSE()</f>
        <v>0</v>
      </c>
      <c r="L400" s="3" t="b">
        <f t="shared" ref="L400:L405" si="27">TRUE()</f>
        <v>1</v>
      </c>
      <c r="M400" s="3" t="s">
        <v>1171</v>
      </c>
      <c r="N400" s="3" t="s">
        <v>85</v>
      </c>
      <c r="O400" s="3" t="b">
        <f>FALSE()</f>
        <v>0</v>
      </c>
      <c r="P400" s="3" t="s">
        <v>1172</v>
      </c>
    </row>
    <row r="401" customHeight="1" spans="1:16">
      <c r="A401" s="3" t="s">
        <v>859</v>
      </c>
      <c r="B401" s="3" t="s">
        <v>860</v>
      </c>
      <c r="C401" s="3">
        <v>31355</v>
      </c>
      <c r="D401" s="3">
        <v>10167</v>
      </c>
      <c r="E401" s="3">
        <v>650000</v>
      </c>
      <c r="F401" s="3">
        <v>60</v>
      </c>
      <c r="G401" s="3">
        <v>9.49</v>
      </c>
      <c r="H401" s="3">
        <v>13648.0335769744</v>
      </c>
      <c r="I401" s="12">
        <v>75.9529056832225</v>
      </c>
      <c r="J401" s="3">
        <v>767</v>
      </c>
      <c r="K401" s="3" t="b">
        <f>FALSE()</f>
        <v>0</v>
      </c>
      <c r="L401" s="3" t="b">
        <f t="shared" si="27"/>
        <v>1</v>
      </c>
      <c r="M401" s="3" t="s">
        <v>1171</v>
      </c>
      <c r="N401" s="3" t="s">
        <v>85</v>
      </c>
      <c r="O401" s="3" t="b">
        <f>FALSE()</f>
        <v>0</v>
      </c>
      <c r="P401" s="3" t="s">
        <v>1172</v>
      </c>
    </row>
    <row r="402" customHeight="1" spans="1:16">
      <c r="A402" s="3" t="s">
        <v>861</v>
      </c>
      <c r="B402" s="3" t="s">
        <v>468</v>
      </c>
      <c r="C402" s="3">
        <v>52524</v>
      </c>
      <c r="D402" s="3">
        <v>20064</v>
      </c>
      <c r="E402" s="3">
        <v>220000</v>
      </c>
      <c r="F402" s="3">
        <v>36</v>
      </c>
      <c r="G402" s="3">
        <v>14.59</v>
      </c>
      <c r="H402" s="3">
        <v>7582.27506077761</v>
      </c>
      <c r="I402" s="12">
        <v>52.6355095970939</v>
      </c>
      <c r="J402" s="3">
        <v>746</v>
      </c>
      <c r="K402" s="3" t="b">
        <f>FALSE()</f>
        <v>0</v>
      </c>
      <c r="L402" s="3" t="b">
        <f t="shared" si="27"/>
        <v>1</v>
      </c>
      <c r="M402" s="3" t="s">
        <v>1171</v>
      </c>
      <c r="N402" s="3" t="s">
        <v>85</v>
      </c>
      <c r="O402" s="3" t="b">
        <f>FALSE()</f>
        <v>0</v>
      </c>
      <c r="P402" s="3" t="s">
        <v>1172</v>
      </c>
    </row>
    <row r="403" customHeight="1" spans="1:16">
      <c r="A403" s="3" t="s">
        <v>862</v>
      </c>
      <c r="B403" s="3" t="s">
        <v>863</v>
      </c>
      <c r="C403" s="3">
        <v>25911</v>
      </c>
      <c r="D403" s="3">
        <v>0</v>
      </c>
      <c r="E403" s="3">
        <v>1220000</v>
      </c>
      <c r="F403" s="3">
        <v>84</v>
      </c>
      <c r="G403" s="3">
        <v>10.4</v>
      </c>
      <c r="H403" s="3">
        <v>20506.4834368551</v>
      </c>
      <c r="I403" s="12">
        <v>79.141999293177</v>
      </c>
      <c r="J403" s="3">
        <v>748</v>
      </c>
      <c r="K403" s="3" t="b">
        <f>FALSE()</f>
        <v>0</v>
      </c>
      <c r="L403" s="3" t="b">
        <f t="shared" si="27"/>
        <v>1</v>
      </c>
      <c r="M403" s="3" t="s">
        <v>1171</v>
      </c>
      <c r="N403" s="3" t="s">
        <v>85</v>
      </c>
      <c r="O403" s="3" t="b">
        <f>FALSE()</f>
        <v>0</v>
      </c>
      <c r="P403" s="3" t="s">
        <v>1172</v>
      </c>
    </row>
    <row r="404" customHeight="1" spans="1:16">
      <c r="A404" s="3" t="s">
        <v>864</v>
      </c>
      <c r="B404" s="3" t="s">
        <v>865</v>
      </c>
      <c r="C404" s="3">
        <v>28780</v>
      </c>
      <c r="D404" s="3">
        <v>0</v>
      </c>
      <c r="E404" s="3">
        <v>540000</v>
      </c>
      <c r="F404" s="3">
        <v>48</v>
      </c>
      <c r="G404" s="3">
        <v>10.86</v>
      </c>
      <c r="H404" s="3">
        <v>13919.8970108447</v>
      </c>
      <c r="I404" s="12">
        <v>48.366563623505</v>
      </c>
      <c r="J404" s="3">
        <v>717</v>
      </c>
      <c r="K404" s="3" t="b">
        <f>TRUE()</f>
        <v>1</v>
      </c>
      <c r="L404" s="3" t="b">
        <f t="shared" si="27"/>
        <v>1</v>
      </c>
      <c r="M404" s="3" t="s">
        <v>1174</v>
      </c>
      <c r="N404" s="3" t="s">
        <v>85</v>
      </c>
      <c r="O404" s="3" t="b">
        <f>TRUE()</f>
        <v>1</v>
      </c>
      <c r="P404" s="3" t="s">
        <v>1175</v>
      </c>
    </row>
    <row r="405" customHeight="1" spans="1:16">
      <c r="A405" s="3" t="s">
        <v>866</v>
      </c>
      <c r="B405" s="3" t="s">
        <v>867</v>
      </c>
      <c r="C405" s="3">
        <v>53508</v>
      </c>
      <c r="D405" s="3">
        <v>17568</v>
      </c>
      <c r="E405" s="3">
        <v>310000</v>
      </c>
      <c r="F405" s="3">
        <v>84</v>
      </c>
      <c r="G405" s="3">
        <v>11.2</v>
      </c>
      <c r="H405" s="3">
        <v>5340.61043716917</v>
      </c>
      <c r="I405" s="12">
        <v>42.8134305845279</v>
      </c>
      <c r="J405" s="3">
        <v>766</v>
      </c>
      <c r="K405" s="3" t="b">
        <f>TRUE()</f>
        <v>1</v>
      </c>
      <c r="L405" s="3" t="b">
        <f t="shared" si="27"/>
        <v>1</v>
      </c>
      <c r="M405" s="3" t="s">
        <v>1174</v>
      </c>
      <c r="N405" s="3" t="s">
        <v>85</v>
      </c>
      <c r="O405" s="3" t="b">
        <f>TRUE()</f>
        <v>1</v>
      </c>
      <c r="P405" s="3" t="s">
        <v>1175</v>
      </c>
    </row>
    <row r="406" customHeight="1" spans="1:16">
      <c r="A406" s="3" t="s">
        <v>868</v>
      </c>
      <c r="B406" s="3" t="s">
        <v>478</v>
      </c>
      <c r="C406" s="3">
        <v>64461</v>
      </c>
      <c r="D406" s="3">
        <v>11400</v>
      </c>
      <c r="E406" s="3">
        <v>940000</v>
      </c>
      <c r="F406" s="3">
        <v>60</v>
      </c>
      <c r="G406" s="3">
        <v>10.33</v>
      </c>
      <c r="H406" s="3">
        <v>20125.1952159041</v>
      </c>
      <c r="I406" s="12">
        <v>48.9058426271763</v>
      </c>
      <c r="J406" s="3">
        <v>686</v>
      </c>
      <c r="K406" s="3" t="b">
        <f>TRUE()</f>
        <v>1</v>
      </c>
      <c r="L406" s="3" t="b">
        <f>FALSE()</f>
        <v>0</v>
      </c>
      <c r="M406" s="3" t="s">
        <v>1171</v>
      </c>
      <c r="N406" s="3" t="s">
        <v>91</v>
      </c>
      <c r="O406" s="3" t="b">
        <f>TRUE()</f>
        <v>1</v>
      </c>
      <c r="P406" s="3" t="s">
        <v>1173</v>
      </c>
    </row>
    <row r="407" customHeight="1" spans="1:16">
      <c r="A407" s="3" t="s">
        <v>869</v>
      </c>
      <c r="B407" s="3" t="s">
        <v>870</v>
      </c>
      <c r="C407" s="3">
        <v>83250</v>
      </c>
      <c r="D407" s="3">
        <v>0</v>
      </c>
      <c r="E407" s="3">
        <v>1560000</v>
      </c>
      <c r="F407" s="3">
        <v>60</v>
      </c>
      <c r="G407" s="3">
        <v>13.79</v>
      </c>
      <c r="H407" s="3">
        <v>36128.8550530342</v>
      </c>
      <c r="I407" s="12">
        <v>43.3980240877288</v>
      </c>
      <c r="J407" s="3">
        <v>604</v>
      </c>
      <c r="K407" s="3" t="b">
        <f>TRUE()</f>
        <v>1</v>
      </c>
      <c r="L407" s="3" t="b">
        <f>FALSE()</f>
        <v>0</v>
      </c>
      <c r="M407" s="3" t="s">
        <v>1171</v>
      </c>
      <c r="N407" s="3" t="s">
        <v>91</v>
      </c>
      <c r="O407" s="3" t="b">
        <f>TRUE()</f>
        <v>1</v>
      </c>
      <c r="P407" s="3" t="s">
        <v>1173</v>
      </c>
    </row>
    <row r="408" customHeight="1" spans="1:16">
      <c r="A408" s="3" t="s">
        <v>871</v>
      </c>
      <c r="B408" s="3" t="s">
        <v>466</v>
      </c>
      <c r="C408" s="3">
        <v>44347</v>
      </c>
      <c r="D408" s="3">
        <v>18213</v>
      </c>
      <c r="E408" s="3">
        <v>360000</v>
      </c>
      <c r="F408" s="3">
        <v>60</v>
      </c>
      <c r="G408" s="3">
        <v>9.16</v>
      </c>
      <c r="H408" s="3">
        <v>7500.99397700089</v>
      </c>
      <c r="I408" s="12">
        <v>57.9836155252912</v>
      </c>
      <c r="J408" s="3">
        <v>719</v>
      </c>
      <c r="K408" s="3" t="b">
        <f>FALSE()</f>
        <v>0</v>
      </c>
      <c r="L408" s="3" t="b">
        <f>TRUE()</f>
        <v>1</v>
      </c>
      <c r="M408" s="3" t="s">
        <v>1171</v>
      </c>
      <c r="N408" s="3" t="s">
        <v>85</v>
      </c>
      <c r="O408" s="3" t="b">
        <f>FALSE()</f>
        <v>0</v>
      </c>
      <c r="P408" s="3" t="s">
        <v>1172</v>
      </c>
    </row>
    <row r="409" customHeight="1" spans="1:16">
      <c r="A409" s="3" t="s">
        <v>872</v>
      </c>
      <c r="B409" s="3" t="s">
        <v>496</v>
      </c>
      <c r="C409" s="3">
        <v>48481</v>
      </c>
      <c r="D409" s="3">
        <v>0</v>
      </c>
      <c r="E409" s="3">
        <v>270000</v>
      </c>
      <c r="F409" s="3">
        <v>36</v>
      </c>
      <c r="G409" s="3">
        <v>14.58</v>
      </c>
      <c r="H409" s="3">
        <v>9304.20168349298</v>
      </c>
      <c r="I409" s="12">
        <v>19.1914392926981</v>
      </c>
      <c r="J409" s="3">
        <v>725</v>
      </c>
      <c r="K409" s="3" t="b">
        <f>TRUE()</f>
        <v>1</v>
      </c>
      <c r="L409" s="3" t="b">
        <f>TRUE()</f>
        <v>1</v>
      </c>
      <c r="M409" s="3" t="s">
        <v>1174</v>
      </c>
      <c r="N409" s="3" t="s">
        <v>85</v>
      </c>
      <c r="O409" s="3" t="b">
        <f>TRUE()</f>
        <v>1</v>
      </c>
      <c r="P409" s="3" t="s">
        <v>1175</v>
      </c>
    </row>
    <row r="410" customHeight="1" spans="1:16">
      <c r="A410" s="3" t="s">
        <v>873</v>
      </c>
      <c r="B410" s="3" t="s">
        <v>874</v>
      </c>
      <c r="C410" s="3">
        <v>113472</v>
      </c>
      <c r="D410" s="3">
        <v>0</v>
      </c>
      <c r="E410" s="3">
        <v>1070000</v>
      </c>
      <c r="F410" s="3">
        <v>60</v>
      </c>
      <c r="G410" s="3">
        <v>14.08</v>
      </c>
      <c r="H410" s="3">
        <v>24941.4288938945</v>
      </c>
      <c r="I410" s="12">
        <v>21.980249659735</v>
      </c>
      <c r="J410" s="3">
        <v>747</v>
      </c>
      <c r="K410" s="3" t="b">
        <f>TRUE()</f>
        <v>1</v>
      </c>
      <c r="L410" s="3" t="b">
        <f>TRUE()</f>
        <v>1</v>
      </c>
      <c r="M410" s="3" t="s">
        <v>1174</v>
      </c>
      <c r="N410" s="3" t="s">
        <v>85</v>
      </c>
      <c r="O410" s="3" t="b">
        <f>TRUE()</f>
        <v>1</v>
      </c>
      <c r="P410" s="3" t="s">
        <v>1175</v>
      </c>
    </row>
    <row r="411" customHeight="1" spans="1:16">
      <c r="A411" s="3" t="s">
        <v>875</v>
      </c>
      <c r="B411" s="3" t="s">
        <v>876</v>
      </c>
      <c r="C411" s="3">
        <v>42772</v>
      </c>
      <c r="D411" s="3">
        <v>5629</v>
      </c>
      <c r="E411" s="3">
        <v>1700000</v>
      </c>
      <c r="F411" s="3">
        <v>60</v>
      </c>
      <c r="G411" s="3">
        <v>15.04</v>
      </c>
      <c r="H411" s="3">
        <v>40478.583950649</v>
      </c>
      <c r="I411" s="12">
        <v>107.798522282449</v>
      </c>
      <c r="J411" s="3">
        <v>723</v>
      </c>
      <c r="K411" s="3" t="b">
        <f>FALSE()</f>
        <v>0</v>
      </c>
      <c r="L411" s="3" t="b">
        <f>TRUE()</f>
        <v>1</v>
      </c>
      <c r="M411" s="3" t="s">
        <v>1171</v>
      </c>
      <c r="N411" s="3" t="s">
        <v>85</v>
      </c>
      <c r="O411" s="3" t="b">
        <f>FALSE()</f>
        <v>0</v>
      </c>
      <c r="P411" s="3" t="s">
        <v>1172</v>
      </c>
    </row>
    <row r="412" customHeight="1" spans="1:16">
      <c r="A412" s="3" t="s">
        <v>877</v>
      </c>
      <c r="B412" s="3" t="s">
        <v>222</v>
      </c>
      <c r="C412" s="3">
        <v>28906</v>
      </c>
      <c r="D412" s="3">
        <v>0</v>
      </c>
      <c r="E412" s="3">
        <v>1400000</v>
      </c>
      <c r="F412" s="3">
        <v>60</v>
      </c>
      <c r="G412" s="3">
        <v>13.61</v>
      </c>
      <c r="H412" s="3">
        <v>32293.1774050538</v>
      </c>
      <c r="I412" s="12">
        <v>111.717904258818</v>
      </c>
      <c r="J412" s="3">
        <v>597</v>
      </c>
      <c r="K412" s="3" t="b">
        <f>FALSE()</f>
        <v>0</v>
      </c>
      <c r="L412" s="3" t="b">
        <f>FALSE()</f>
        <v>0</v>
      </c>
      <c r="M412" s="3" t="s">
        <v>1171</v>
      </c>
      <c r="N412" s="3" t="s">
        <v>91</v>
      </c>
      <c r="O412" s="3" t="b">
        <f>TRUE()</f>
        <v>1</v>
      </c>
      <c r="P412" s="3" t="s">
        <v>1173</v>
      </c>
    </row>
    <row r="413" customHeight="1" spans="1:16">
      <c r="A413" s="3" t="s">
        <v>878</v>
      </c>
      <c r="B413" s="3" t="s">
        <v>879</v>
      </c>
      <c r="C413" s="3">
        <v>50268</v>
      </c>
      <c r="D413" s="3">
        <v>0</v>
      </c>
      <c r="E413" s="3">
        <v>790000</v>
      </c>
      <c r="F413" s="3">
        <v>60</v>
      </c>
      <c r="G413" s="3">
        <v>10.31</v>
      </c>
      <c r="H413" s="3">
        <v>16905.9198631987</v>
      </c>
      <c r="I413" s="12">
        <v>33.6315744871464</v>
      </c>
      <c r="J413" s="3">
        <v>583</v>
      </c>
      <c r="K413" s="3" t="b">
        <f>TRUE()</f>
        <v>1</v>
      </c>
      <c r="L413" s="3" t="b">
        <f>FALSE()</f>
        <v>0</v>
      </c>
      <c r="M413" s="3" t="s">
        <v>1171</v>
      </c>
      <c r="N413" s="3" t="s">
        <v>85</v>
      </c>
      <c r="O413" s="3" t="b">
        <f>FALSE()</f>
        <v>0</v>
      </c>
      <c r="P413" s="3" t="s">
        <v>1172</v>
      </c>
    </row>
    <row r="414" customHeight="1" spans="1:16">
      <c r="A414" s="3" t="s">
        <v>880</v>
      </c>
      <c r="B414" s="3" t="s">
        <v>881</v>
      </c>
      <c r="C414" s="3">
        <v>38644</v>
      </c>
      <c r="D414" s="3">
        <v>4249</v>
      </c>
      <c r="E414" s="3">
        <v>980000</v>
      </c>
      <c r="F414" s="3">
        <v>60</v>
      </c>
      <c r="G414" s="3">
        <v>10.22</v>
      </c>
      <c r="H414" s="3">
        <v>20928.3463773533</v>
      </c>
      <c r="I414" s="12">
        <v>65.1520194010798</v>
      </c>
      <c r="J414" s="3">
        <v>767</v>
      </c>
      <c r="K414" s="3" t="b">
        <f>FALSE()</f>
        <v>0</v>
      </c>
      <c r="L414" s="3" t="b">
        <f>TRUE()</f>
        <v>1</v>
      </c>
      <c r="M414" s="3" t="s">
        <v>1171</v>
      </c>
      <c r="N414" s="3" t="s">
        <v>85</v>
      </c>
      <c r="O414" s="3" t="b">
        <f>FALSE()</f>
        <v>0</v>
      </c>
      <c r="P414" s="3" t="s">
        <v>1172</v>
      </c>
    </row>
    <row r="415" customHeight="1" spans="1:16">
      <c r="A415" s="3" t="s">
        <v>882</v>
      </c>
      <c r="B415" s="3" t="s">
        <v>883</v>
      </c>
      <c r="C415" s="3">
        <v>20020</v>
      </c>
      <c r="D415" s="3">
        <v>0</v>
      </c>
      <c r="E415" s="3">
        <v>260000</v>
      </c>
      <c r="F415" s="3">
        <v>48</v>
      </c>
      <c r="G415" s="3">
        <v>11.23</v>
      </c>
      <c r="H415" s="3">
        <v>6748.91350735374</v>
      </c>
      <c r="I415" s="12">
        <v>33.7108566800886</v>
      </c>
      <c r="J415" s="3">
        <v>737</v>
      </c>
      <c r="K415" s="3" t="b">
        <f>TRUE()</f>
        <v>1</v>
      </c>
      <c r="L415" s="3" t="b">
        <f>TRUE()</f>
        <v>1</v>
      </c>
      <c r="M415" s="3" t="s">
        <v>1174</v>
      </c>
      <c r="N415" s="3" t="s">
        <v>85</v>
      </c>
      <c r="O415" s="3" t="b">
        <f>TRUE()</f>
        <v>1</v>
      </c>
      <c r="P415" s="3" t="s">
        <v>1175</v>
      </c>
    </row>
    <row r="416" customHeight="1" spans="1:16">
      <c r="A416" s="3" t="s">
        <v>884</v>
      </c>
      <c r="B416" s="3" t="s">
        <v>885</v>
      </c>
      <c r="C416" s="3">
        <v>42742</v>
      </c>
      <c r="D416" s="3">
        <v>7689</v>
      </c>
      <c r="E416" s="3">
        <v>140000</v>
      </c>
      <c r="F416" s="3">
        <v>36</v>
      </c>
      <c r="G416" s="3">
        <v>14.57</v>
      </c>
      <c r="H416" s="3">
        <v>4823.7176724311</v>
      </c>
      <c r="I416" s="12">
        <v>29.2749933845658</v>
      </c>
      <c r="J416" s="3">
        <v>682</v>
      </c>
      <c r="K416" s="3" t="b">
        <f>TRUE()</f>
        <v>1</v>
      </c>
      <c r="L416" s="3" t="b">
        <f>FALSE()</f>
        <v>0</v>
      </c>
      <c r="M416" s="3" t="s">
        <v>1171</v>
      </c>
      <c r="N416" s="3" t="s">
        <v>85</v>
      </c>
      <c r="O416" s="3" t="b">
        <f>FALSE()</f>
        <v>0</v>
      </c>
      <c r="P416" s="3" t="s">
        <v>1172</v>
      </c>
    </row>
    <row r="417" customHeight="1" spans="1:16">
      <c r="A417" s="3" t="s">
        <v>886</v>
      </c>
      <c r="B417" s="3" t="s">
        <v>887</v>
      </c>
      <c r="C417" s="3">
        <v>51738</v>
      </c>
      <c r="D417" s="3">
        <v>11323</v>
      </c>
      <c r="E417" s="3">
        <v>410000</v>
      </c>
      <c r="F417" s="3">
        <v>84</v>
      </c>
      <c r="G417" s="3">
        <v>10.83</v>
      </c>
      <c r="H417" s="3">
        <v>6983.60484885688</v>
      </c>
      <c r="I417" s="12">
        <v>35.3832866536335</v>
      </c>
      <c r="J417" s="3">
        <v>740</v>
      </c>
      <c r="K417" s="3" t="b">
        <f>TRUE()</f>
        <v>1</v>
      </c>
      <c r="L417" s="3" t="b">
        <f>TRUE()</f>
        <v>1</v>
      </c>
      <c r="M417" s="3" t="s">
        <v>1174</v>
      </c>
      <c r="N417" s="3" t="s">
        <v>85</v>
      </c>
      <c r="O417" s="3" t="b">
        <f>TRUE()</f>
        <v>1</v>
      </c>
      <c r="P417" s="3" t="s">
        <v>1175</v>
      </c>
    </row>
    <row r="418" customHeight="1" spans="1:16">
      <c r="A418" s="3" t="s">
        <v>888</v>
      </c>
      <c r="B418" s="3" t="s">
        <v>889</v>
      </c>
      <c r="C418" s="3">
        <v>47003</v>
      </c>
      <c r="D418" s="3">
        <v>1658</v>
      </c>
      <c r="E418" s="3">
        <v>1550000</v>
      </c>
      <c r="F418" s="3">
        <v>60</v>
      </c>
      <c r="G418" s="3">
        <v>13.89</v>
      </c>
      <c r="H418" s="3">
        <v>35977.4562534603</v>
      </c>
      <c r="I418" s="12">
        <v>80.0703279651518</v>
      </c>
      <c r="J418" s="3">
        <v>638</v>
      </c>
      <c r="K418" s="3" t="b">
        <f>FALSE()</f>
        <v>0</v>
      </c>
      <c r="L418" s="3" t="b">
        <f>FALSE()</f>
        <v>0</v>
      </c>
      <c r="M418" s="3" t="s">
        <v>1171</v>
      </c>
      <c r="N418" s="3" t="s">
        <v>85</v>
      </c>
      <c r="O418" s="3" t="b">
        <f>FALSE()</f>
        <v>0</v>
      </c>
      <c r="P418" s="3" t="s">
        <v>1172</v>
      </c>
    </row>
    <row r="419" customHeight="1" spans="1:16">
      <c r="A419" s="3" t="s">
        <v>890</v>
      </c>
      <c r="B419" s="3" t="s">
        <v>127</v>
      </c>
      <c r="C419" s="3">
        <v>36062</v>
      </c>
      <c r="D419" s="3">
        <v>4787</v>
      </c>
      <c r="E419" s="3">
        <v>3630000</v>
      </c>
      <c r="F419" s="3">
        <v>240</v>
      </c>
      <c r="G419" s="3">
        <v>8.77</v>
      </c>
      <c r="H419" s="3">
        <v>32125.0373539475</v>
      </c>
      <c r="I419" s="12">
        <v>102.357155326791</v>
      </c>
      <c r="J419" s="3">
        <v>736</v>
      </c>
      <c r="K419" s="3" t="b">
        <f>FALSE()</f>
        <v>0</v>
      </c>
      <c r="L419" s="3" t="b">
        <f>TRUE()</f>
        <v>1</v>
      </c>
      <c r="M419" s="3" t="s">
        <v>1171</v>
      </c>
      <c r="N419" s="3" t="s">
        <v>85</v>
      </c>
      <c r="O419" s="3" t="b">
        <f>FALSE()</f>
        <v>0</v>
      </c>
      <c r="P419" s="3" t="s">
        <v>1172</v>
      </c>
    </row>
    <row r="420" customHeight="1" spans="1:16">
      <c r="A420" s="3" t="s">
        <v>891</v>
      </c>
      <c r="B420" s="3" t="s">
        <v>892</v>
      </c>
      <c r="C420" s="3">
        <v>67184</v>
      </c>
      <c r="D420" s="3">
        <v>20541</v>
      </c>
      <c r="E420" s="3">
        <v>990000</v>
      </c>
      <c r="F420" s="3">
        <v>60</v>
      </c>
      <c r="G420" s="3">
        <v>10.4</v>
      </c>
      <c r="H420" s="3">
        <v>21229.9517551658</v>
      </c>
      <c r="I420" s="12">
        <v>62.173957720835</v>
      </c>
      <c r="J420" s="3">
        <v>819</v>
      </c>
      <c r="K420" s="3" t="b">
        <f>FALSE()</f>
        <v>0</v>
      </c>
      <c r="L420" s="3" t="b">
        <f>TRUE()</f>
        <v>1</v>
      </c>
      <c r="M420" s="3" t="s">
        <v>1171</v>
      </c>
      <c r="N420" s="3" t="s">
        <v>85</v>
      </c>
      <c r="O420" s="3" t="b">
        <f>FALSE()</f>
        <v>0</v>
      </c>
      <c r="P420" s="3" t="s">
        <v>1172</v>
      </c>
    </row>
    <row r="421" customHeight="1" spans="1:16">
      <c r="A421" s="3" t="s">
        <v>893</v>
      </c>
      <c r="B421" s="3" t="s">
        <v>894</v>
      </c>
      <c r="C421" s="3">
        <v>75492</v>
      </c>
      <c r="D421" s="3">
        <v>21550</v>
      </c>
      <c r="E421" s="3">
        <v>1210000</v>
      </c>
      <c r="F421" s="3">
        <v>84</v>
      </c>
      <c r="G421" s="3">
        <v>10.65</v>
      </c>
      <c r="H421" s="3">
        <v>20496.1463590653</v>
      </c>
      <c r="I421" s="12">
        <v>55.6961616582754</v>
      </c>
      <c r="J421" s="3">
        <v>744</v>
      </c>
      <c r="K421" s="3" t="b">
        <f>FALSE()</f>
        <v>0</v>
      </c>
      <c r="L421" s="3" t="b">
        <f>TRUE()</f>
        <v>1</v>
      </c>
      <c r="M421" s="3" t="s">
        <v>1171</v>
      </c>
      <c r="N421" s="3" t="s">
        <v>85</v>
      </c>
      <c r="O421" s="3" t="b">
        <f>FALSE()</f>
        <v>0</v>
      </c>
      <c r="P421" s="3" t="s">
        <v>1172</v>
      </c>
    </row>
    <row r="422" customHeight="1" spans="1:16">
      <c r="A422" s="3" t="s">
        <v>895</v>
      </c>
      <c r="B422" s="3" t="s">
        <v>896</v>
      </c>
      <c r="C422" s="3">
        <v>31343</v>
      </c>
      <c r="D422" s="3">
        <v>0</v>
      </c>
      <c r="E422" s="3">
        <v>110000</v>
      </c>
      <c r="F422" s="3">
        <v>36</v>
      </c>
      <c r="G422" s="3">
        <v>13.59</v>
      </c>
      <c r="H422" s="3">
        <v>3737.67181665353</v>
      </c>
      <c r="I422" s="12">
        <v>11.9250608322545</v>
      </c>
      <c r="J422" s="3">
        <v>723</v>
      </c>
      <c r="K422" s="3" t="b">
        <f t="shared" ref="K422:K428" si="28">TRUE()</f>
        <v>1</v>
      </c>
      <c r="L422" s="3" t="b">
        <f>TRUE()</f>
        <v>1</v>
      </c>
      <c r="M422" s="3" t="s">
        <v>1174</v>
      </c>
      <c r="N422" s="3" t="s">
        <v>85</v>
      </c>
      <c r="O422" s="3" t="b">
        <f>TRUE()</f>
        <v>1</v>
      </c>
      <c r="P422" s="3" t="s">
        <v>1175</v>
      </c>
    </row>
    <row r="423" customHeight="1" spans="1:16">
      <c r="A423" s="3" t="s">
        <v>897</v>
      </c>
      <c r="B423" s="3" t="s">
        <v>399</v>
      </c>
      <c r="C423" s="3">
        <v>107940</v>
      </c>
      <c r="D423" s="3">
        <v>2395</v>
      </c>
      <c r="E423" s="3">
        <v>670000</v>
      </c>
      <c r="F423" s="3">
        <v>60</v>
      </c>
      <c r="G423" s="3">
        <v>9.4</v>
      </c>
      <c r="H423" s="3">
        <v>14038.5272519456</v>
      </c>
      <c r="I423" s="12">
        <v>15.2246870964847</v>
      </c>
      <c r="J423" s="3">
        <v>800</v>
      </c>
      <c r="K423" s="3" t="b">
        <f t="shared" si="28"/>
        <v>1</v>
      </c>
      <c r="L423" s="3" t="b">
        <f>TRUE()</f>
        <v>1</v>
      </c>
      <c r="M423" s="3" t="s">
        <v>1174</v>
      </c>
      <c r="N423" s="3" t="s">
        <v>85</v>
      </c>
      <c r="O423" s="3" t="b">
        <f>TRUE()</f>
        <v>1</v>
      </c>
      <c r="P423" s="3" t="s">
        <v>1175</v>
      </c>
    </row>
    <row r="424" customHeight="1" spans="1:16">
      <c r="A424" s="3" t="s">
        <v>898</v>
      </c>
      <c r="B424" s="3" t="s">
        <v>899</v>
      </c>
      <c r="C424" s="3">
        <v>53873</v>
      </c>
      <c r="D424" s="3">
        <v>8813</v>
      </c>
      <c r="E424" s="3">
        <v>1020000</v>
      </c>
      <c r="F424" s="3">
        <v>84</v>
      </c>
      <c r="G424" s="3">
        <v>10.92</v>
      </c>
      <c r="H424" s="3">
        <v>17422.0100587834</v>
      </c>
      <c r="I424" s="12">
        <v>48.6978821650611</v>
      </c>
      <c r="J424" s="3">
        <v>695</v>
      </c>
      <c r="K424" s="3" t="b">
        <f t="shared" si="28"/>
        <v>1</v>
      </c>
      <c r="L424" s="3" t="b">
        <f>FALSE()</f>
        <v>0</v>
      </c>
      <c r="M424" s="3" t="s">
        <v>1171</v>
      </c>
      <c r="N424" s="3" t="s">
        <v>85</v>
      </c>
      <c r="O424" s="3" t="b">
        <f>FALSE()</f>
        <v>0</v>
      </c>
      <c r="P424" s="3" t="s">
        <v>1172</v>
      </c>
    </row>
    <row r="425" customHeight="1" spans="1:16">
      <c r="A425" s="3" t="s">
        <v>900</v>
      </c>
      <c r="B425" s="3" t="s">
        <v>901</v>
      </c>
      <c r="C425" s="3">
        <v>124836</v>
      </c>
      <c r="D425" s="3">
        <v>0</v>
      </c>
      <c r="E425" s="3">
        <v>790000</v>
      </c>
      <c r="F425" s="3">
        <v>84</v>
      </c>
      <c r="G425" s="3">
        <v>11.5</v>
      </c>
      <c r="H425" s="3">
        <v>13735.3040479898</v>
      </c>
      <c r="I425" s="12">
        <v>11.0026787529156</v>
      </c>
      <c r="J425" s="3">
        <v>692</v>
      </c>
      <c r="K425" s="3" t="b">
        <f t="shared" si="28"/>
        <v>1</v>
      </c>
      <c r="L425" s="3" t="b">
        <f>FALSE()</f>
        <v>0</v>
      </c>
      <c r="M425" s="3" t="s">
        <v>1171</v>
      </c>
      <c r="N425" s="3" t="s">
        <v>85</v>
      </c>
      <c r="O425" s="3" t="b">
        <f>FALSE()</f>
        <v>0</v>
      </c>
      <c r="P425" s="3" t="s">
        <v>1172</v>
      </c>
    </row>
    <row r="426" customHeight="1" spans="1:16">
      <c r="A426" s="3" t="s">
        <v>902</v>
      </c>
      <c r="B426" s="3" t="s">
        <v>903</v>
      </c>
      <c r="C426" s="3">
        <v>122661</v>
      </c>
      <c r="D426" s="3">
        <v>0</v>
      </c>
      <c r="E426" s="3">
        <v>380000</v>
      </c>
      <c r="F426" s="3">
        <v>60</v>
      </c>
      <c r="G426" s="3">
        <v>14.23</v>
      </c>
      <c r="H426" s="3">
        <v>8887.31204562631</v>
      </c>
      <c r="I426" s="12">
        <v>7.24542604872479</v>
      </c>
      <c r="J426" s="3">
        <v>752</v>
      </c>
      <c r="K426" s="3" t="b">
        <f t="shared" si="28"/>
        <v>1</v>
      </c>
      <c r="L426" s="3" t="b">
        <f>TRUE()</f>
        <v>1</v>
      </c>
      <c r="M426" s="3" t="s">
        <v>1174</v>
      </c>
      <c r="N426" s="3" t="s">
        <v>85</v>
      </c>
      <c r="O426" s="3" t="b">
        <f>TRUE()</f>
        <v>1</v>
      </c>
      <c r="P426" s="3" t="s">
        <v>1175</v>
      </c>
    </row>
    <row r="427" customHeight="1" spans="1:16">
      <c r="A427" s="3" t="s">
        <v>904</v>
      </c>
      <c r="B427" s="3" t="s">
        <v>905</v>
      </c>
      <c r="C427" s="3">
        <v>83639</v>
      </c>
      <c r="D427" s="3">
        <v>0</v>
      </c>
      <c r="E427" s="3">
        <v>1480000</v>
      </c>
      <c r="F427" s="3">
        <v>60</v>
      </c>
      <c r="G427" s="3">
        <v>15.18</v>
      </c>
      <c r="H427" s="3">
        <v>35349.0876793666</v>
      </c>
      <c r="I427" s="12">
        <v>42.2638812986365</v>
      </c>
      <c r="J427" s="3">
        <v>680</v>
      </c>
      <c r="K427" s="3" t="b">
        <f t="shared" si="28"/>
        <v>1</v>
      </c>
      <c r="L427" s="3" t="b">
        <f>FALSE()</f>
        <v>0</v>
      </c>
      <c r="M427" s="3" t="s">
        <v>1171</v>
      </c>
      <c r="N427" s="3" t="s">
        <v>85</v>
      </c>
      <c r="O427" s="3" t="b">
        <f>FALSE()</f>
        <v>0</v>
      </c>
      <c r="P427" s="3" t="s">
        <v>1172</v>
      </c>
    </row>
    <row r="428" customHeight="1" spans="1:16">
      <c r="A428" s="3" t="s">
        <v>906</v>
      </c>
      <c r="B428" s="3" t="s">
        <v>907</v>
      </c>
      <c r="C428" s="3">
        <v>157070</v>
      </c>
      <c r="D428" s="3">
        <v>20415</v>
      </c>
      <c r="E428" s="3">
        <v>780000</v>
      </c>
      <c r="F428" s="3">
        <v>48</v>
      </c>
      <c r="G428" s="3">
        <v>10.8</v>
      </c>
      <c r="H428" s="3">
        <v>20083.8331818353</v>
      </c>
      <c r="I428" s="12">
        <v>25.7839391238526</v>
      </c>
      <c r="J428" s="3">
        <v>711</v>
      </c>
      <c r="K428" s="3" t="b">
        <f t="shared" si="28"/>
        <v>1</v>
      </c>
      <c r="L428" s="3" t="b">
        <f>TRUE()</f>
        <v>1</v>
      </c>
      <c r="M428" s="3" t="s">
        <v>1174</v>
      </c>
      <c r="N428" s="3" t="s">
        <v>85</v>
      </c>
      <c r="O428" s="3" t="b">
        <f>TRUE()</f>
        <v>1</v>
      </c>
      <c r="P428" s="3" t="s">
        <v>1175</v>
      </c>
    </row>
    <row r="429" customHeight="1" spans="1:16">
      <c r="A429" s="3" t="s">
        <v>908</v>
      </c>
      <c r="B429" s="3" t="s">
        <v>909</v>
      </c>
      <c r="C429" s="3">
        <v>25965</v>
      </c>
      <c r="D429" s="3">
        <v>5583</v>
      </c>
      <c r="E429" s="3">
        <v>1090000</v>
      </c>
      <c r="F429" s="3">
        <v>84</v>
      </c>
      <c r="G429" s="3">
        <v>10.17</v>
      </c>
      <c r="H429" s="3">
        <v>18191.1782682343</v>
      </c>
      <c r="I429" s="12">
        <v>91.5624042681854</v>
      </c>
      <c r="J429" s="3">
        <v>759</v>
      </c>
      <c r="K429" s="3" t="b">
        <f>FALSE()</f>
        <v>0</v>
      </c>
      <c r="L429" s="3" t="b">
        <f>TRUE()</f>
        <v>1</v>
      </c>
      <c r="M429" s="3" t="s">
        <v>1171</v>
      </c>
      <c r="N429" s="3" t="s">
        <v>85</v>
      </c>
      <c r="O429" s="3" t="b">
        <f>FALSE()</f>
        <v>0</v>
      </c>
      <c r="P429" s="3" t="s">
        <v>1172</v>
      </c>
    </row>
    <row r="430" customHeight="1" spans="1:16">
      <c r="A430" s="3" t="s">
        <v>910</v>
      </c>
      <c r="B430" s="3" t="s">
        <v>911</v>
      </c>
      <c r="C430" s="3">
        <v>106297</v>
      </c>
      <c r="D430" s="3">
        <v>0</v>
      </c>
      <c r="E430" s="3">
        <v>490000</v>
      </c>
      <c r="F430" s="3">
        <v>60</v>
      </c>
      <c r="G430" s="3">
        <v>9.44</v>
      </c>
      <c r="H430" s="3">
        <v>10276.5504406304</v>
      </c>
      <c r="I430" s="12">
        <v>9.66777090663936</v>
      </c>
      <c r="J430" s="3">
        <v>773</v>
      </c>
      <c r="K430" s="3" t="b">
        <f>TRUE()</f>
        <v>1</v>
      </c>
      <c r="L430" s="3" t="b">
        <f>TRUE()</f>
        <v>1</v>
      </c>
      <c r="M430" s="3" t="s">
        <v>1174</v>
      </c>
      <c r="N430" s="3" t="s">
        <v>85</v>
      </c>
      <c r="O430" s="3" t="b">
        <f>TRUE()</f>
        <v>1</v>
      </c>
      <c r="P430" s="3" t="s">
        <v>1175</v>
      </c>
    </row>
    <row r="431" customHeight="1" spans="1:16">
      <c r="A431" s="3" t="s">
        <v>912</v>
      </c>
      <c r="B431" s="3" t="s">
        <v>270</v>
      </c>
      <c r="C431" s="3">
        <v>61551</v>
      </c>
      <c r="D431" s="3">
        <v>0</v>
      </c>
      <c r="E431" s="3">
        <v>1050000</v>
      </c>
      <c r="F431" s="3">
        <v>60</v>
      </c>
      <c r="G431" s="3">
        <v>9.6</v>
      </c>
      <c r="H431" s="3">
        <v>22103.3021617638</v>
      </c>
      <c r="I431" s="12">
        <v>35.9105492384588</v>
      </c>
      <c r="J431" s="3">
        <v>745</v>
      </c>
      <c r="K431" s="3" t="b">
        <f>TRUE()</f>
        <v>1</v>
      </c>
      <c r="L431" s="3" t="b">
        <f>TRUE()</f>
        <v>1</v>
      </c>
      <c r="M431" s="3" t="s">
        <v>1174</v>
      </c>
      <c r="N431" s="3" t="s">
        <v>85</v>
      </c>
      <c r="O431" s="3" t="b">
        <f>TRUE()</f>
        <v>1</v>
      </c>
      <c r="P431" s="3" t="s">
        <v>1175</v>
      </c>
    </row>
    <row r="432" customHeight="1" spans="1:16">
      <c r="A432" s="3" t="s">
        <v>913</v>
      </c>
      <c r="B432" s="3" t="s">
        <v>914</v>
      </c>
      <c r="C432" s="3">
        <v>22328</v>
      </c>
      <c r="D432" s="3">
        <v>0</v>
      </c>
      <c r="E432" s="3">
        <v>1500000</v>
      </c>
      <c r="F432" s="3">
        <v>60</v>
      </c>
      <c r="G432" s="3">
        <v>15.05</v>
      </c>
      <c r="H432" s="3">
        <v>35724.2756393908</v>
      </c>
      <c r="I432" s="12">
        <v>159.997651555853</v>
      </c>
      <c r="J432" s="3">
        <v>720</v>
      </c>
      <c r="K432" s="3" t="b">
        <f>FALSE()</f>
        <v>0</v>
      </c>
      <c r="L432" s="3" t="b">
        <f>TRUE()</f>
        <v>1</v>
      </c>
      <c r="M432" s="3" t="s">
        <v>1171</v>
      </c>
      <c r="N432" s="3" t="s">
        <v>85</v>
      </c>
      <c r="O432" s="3" t="b">
        <f t="shared" ref="O432:O439" si="29">FALSE()</f>
        <v>0</v>
      </c>
      <c r="P432" s="3" t="s">
        <v>1172</v>
      </c>
    </row>
    <row r="433" customHeight="1" spans="1:16">
      <c r="A433" s="3" t="s">
        <v>915</v>
      </c>
      <c r="B433" s="3" t="s">
        <v>916</v>
      </c>
      <c r="C433" s="3">
        <v>61179</v>
      </c>
      <c r="D433" s="3">
        <v>1615</v>
      </c>
      <c r="E433" s="3">
        <v>100000</v>
      </c>
      <c r="F433" s="3">
        <v>36</v>
      </c>
      <c r="G433" s="3">
        <v>14.14</v>
      </c>
      <c r="H433" s="3">
        <v>3424.56658599619</v>
      </c>
      <c r="I433" s="12">
        <v>8.23741248793899</v>
      </c>
      <c r="J433" s="3">
        <v>687</v>
      </c>
      <c r="K433" s="3" t="b">
        <f>TRUE()</f>
        <v>1</v>
      </c>
      <c r="L433" s="3" t="b">
        <f>FALSE()</f>
        <v>0</v>
      </c>
      <c r="M433" s="3" t="s">
        <v>1171</v>
      </c>
      <c r="N433" s="3" t="s">
        <v>85</v>
      </c>
      <c r="O433" s="3" t="b">
        <f t="shared" si="29"/>
        <v>0</v>
      </c>
      <c r="P433" s="3" t="s">
        <v>1172</v>
      </c>
    </row>
    <row r="434" customHeight="1" spans="1:16">
      <c r="A434" s="3" t="s">
        <v>917</v>
      </c>
      <c r="B434" s="3" t="s">
        <v>889</v>
      </c>
      <c r="C434" s="3">
        <v>51562</v>
      </c>
      <c r="D434" s="3">
        <v>7518</v>
      </c>
      <c r="E434" s="3">
        <v>1300000</v>
      </c>
      <c r="F434" s="3">
        <v>60</v>
      </c>
      <c r="G434" s="3">
        <v>14.92</v>
      </c>
      <c r="H434" s="3">
        <v>30872.3450641518</v>
      </c>
      <c r="I434" s="12">
        <v>74.4547245338657</v>
      </c>
      <c r="J434" s="3">
        <v>630</v>
      </c>
      <c r="K434" s="3" t="b">
        <f>FALSE()</f>
        <v>0</v>
      </c>
      <c r="L434" s="3" t="b">
        <f>FALSE()</f>
        <v>0</v>
      </c>
      <c r="M434" s="3" t="s">
        <v>1171</v>
      </c>
      <c r="N434" s="3" t="s">
        <v>85</v>
      </c>
      <c r="O434" s="3" t="b">
        <f t="shared" si="29"/>
        <v>0</v>
      </c>
      <c r="P434" s="3" t="s">
        <v>1172</v>
      </c>
    </row>
    <row r="435" customHeight="1" spans="1:16">
      <c r="A435" s="3" t="s">
        <v>918</v>
      </c>
      <c r="B435" s="3" t="s">
        <v>919</v>
      </c>
      <c r="C435" s="3">
        <v>81795</v>
      </c>
      <c r="D435" s="3">
        <v>31287</v>
      </c>
      <c r="E435" s="3">
        <v>950000</v>
      </c>
      <c r="F435" s="3">
        <v>84</v>
      </c>
      <c r="G435" s="3">
        <v>10.96</v>
      </c>
      <c r="H435" s="3">
        <v>16246.3413882436</v>
      </c>
      <c r="I435" s="12">
        <v>58.1127714264241</v>
      </c>
      <c r="J435" s="3">
        <v>756</v>
      </c>
      <c r="K435" s="3" t="b">
        <f>FALSE()</f>
        <v>0</v>
      </c>
      <c r="L435" s="3" t="b">
        <f>TRUE()</f>
        <v>1</v>
      </c>
      <c r="M435" s="3" t="s">
        <v>1171</v>
      </c>
      <c r="N435" s="3" t="s">
        <v>85</v>
      </c>
      <c r="O435" s="3" t="b">
        <f t="shared" si="29"/>
        <v>0</v>
      </c>
      <c r="P435" s="3" t="s">
        <v>1172</v>
      </c>
    </row>
    <row r="436" customHeight="1" spans="1:16">
      <c r="A436" s="3" t="s">
        <v>920</v>
      </c>
      <c r="B436" s="3" t="s">
        <v>865</v>
      </c>
      <c r="C436" s="3">
        <v>127530</v>
      </c>
      <c r="D436" s="3">
        <v>22061</v>
      </c>
      <c r="E436" s="3">
        <v>1010000</v>
      </c>
      <c r="F436" s="3">
        <v>60</v>
      </c>
      <c r="G436" s="3">
        <v>9.48</v>
      </c>
      <c r="H436" s="3">
        <v>21202.0097171603</v>
      </c>
      <c r="I436" s="12">
        <v>33.9237902588883</v>
      </c>
      <c r="J436" s="3">
        <v>638</v>
      </c>
      <c r="K436" s="3" t="b">
        <f t="shared" ref="K436:K444" si="30">TRUE()</f>
        <v>1</v>
      </c>
      <c r="L436" s="3" t="b">
        <f>FALSE()</f>
        <v>0</v>
      </c>
      <c r="M436" s="3" t="s">
        <v>1171</v>
      </c>
      <c r="N436" s="3" t="s">
        <v>85</v>
      </c>
      <c r="O436" s="3" t="b">
        <f t="shared" si="29"/>
        <v>0</v>
      </c>
      <c r="P436" s="3" t="s">
        <v>1172</v>
      </c>
    </row>
    <row r="437" customHeight="1" spans="1:16">
      <c r="A437" s="3" t="s">
        <v>921</v>
      </c>
      <c r="B437" s="3" t="s">
        <v>535</v>
      </c>
      <c r="C437" s="3">
        <v>172262</v>
      </c>
      <c r="D437" s="3">
        <v>64692</v>
      </c>
      <c r="E437" s="3">
        <v>290000</v>
      </c>
      <c r="F437" s="3">
        <v>60</v>
      </c>
      <c r="G437" s="3">
        <v>9.76</v>
      </c>
      <c r="H437" s="3">
        <v>6127.45282266686</v>
      </c>
      <c r="I437" s="12">
        <v>41.1114771816575</v>
      </c>
      <c r="J437" s="3">
        <v>653</v>
      </c>
      <c r="K437" s="3" t="b">
        <f t="shared" si="30"/>
        <v>1</v>
      </c>
      <c r="L437" s="3" t="b">
        <f>FALSE()</f>
        <v>0</v>
      </c>
      <c r="M437" s="3" t="s">
        <v>1171</v>
      </c>
      <c r="N437" s="3" t="s">
        <v>85</v>
      </c>
      <c r="O437" s="3" t="b">
        <f t="shared" si="29"/>
        <v>0</v>
      </c>
      <c r="P437" s="3" t="s">
        <v>1172</v>
      </c>
    </row>
    <row r="438" customHeight="1" spans="1:16">
      <c r="A438" s="3" t="s">
        <v>922</v>
      </c>
      <c r="B438" s="3" t="s">
        <v>568</v>
      </c>
      <c r="C438" s="3">
        <v>59279</v>
      </c>
      <c r="D438" s="3">
        <v>0</v>
      </c>
      <c r="E438" s="3">
        <v>1270000</v>
      </c>
      <c r="F438" s="3">
        <v>240</v>
      </c>
      <c r="G438" s="3">
        <v>9.61</v>
      </c>
      <c r="H438" s="3">
        <v>11929.4409968424</v>
      </c>
      <c r="I438" s="12">
        <v>20.1242277987861</v>
      </c>
      <c r="J438" s="3">
        <v>674</v>
      </c>
      <c r="K438" s="3" t="b">
        <f t="shared" si="30"/>
        <v>1</v>
      </c>
      <c r="L438" s="3" t="b">
        <f>FALSE()</f>
        <v>0</v>
      </c>
      <c r="M438" s="3" t="s">
        <v>1171</v>
      </c>
      <c r="N438" s="3" t="s">
        <v>85</v>
      </c>
      <c r="O438" s="3" t="b">
        <f t="shared" si="29"/>
        <v>0</v>
      </c>
      <c r="P438" s="3" t="s">
        <v>1172</v>
      </c>
    </row>
    <row r="439" customHeight="1" spans="1:16">
      <c r="A439" s="3" t="s">
        <v>923</v>
      </c>
      <c r="B439" s="3" t="s">
        <v>226</v>
      </c>
      <c r="C439" s="3">
        <v>85304</v>
      </c>
      <c r="D439" s="3">
        <v>0</v>
      </c>
      <c r="E439" s="3">
        <v>670000</v>
      </c>
      <c r="F439" s="3">
        <v>48</v>
      </c>
      <c r="G439" s="3">
        <v>10.62</v>
      </c>
      <c r="H439" s="3">
        <v>17193.118803881</v>
      </c>
      <c r="I439" s="12">
        <v>20.1551144188795</v>
      </c>
      <c r="J439" s="3">
        <v>661</v>
      </c>
      <c r="K439" s="3" t="b">
        <f t="shared" si="30"/>
        <v>1</v>
      </c>
      <c r="L439" s="3" t="b">
        <f>FALSE()</f>
        <v>0</v>
      </c>
      <c r="M439" s="3" t="s">
        <v>1171</v>
      </c>
      <c r="N439" s="3" t="s">
        <v>85</v>
      </c>
      <c r="O439" s="3" t="b">
        <f t="shared" si="29"/>
        <v>0</v>
      </c>
      <c r="P439" s="3" t="s">
        <v>1172</v>
      </c>
    </row>
    <row r="440" customHeight="1" spans="1:16">
      <c r="A440" s="3" t="s">
        <v>924</v>
      </c>
      <c r="B440" s="3" t="s">
        <v>925</v>
      </c>
      <c r="C440" s="3">
        <v>64063</v>
      </c>
      <c r="D440" s="3">
        <v>9135</v>
      </c>
      <c r="E440" s="3">
        <v>200000</v>
      </c>
      <c r="F440" s="3">
        <v>36</v>
      </c>
      <c r="G440" s="3">
        <v>14.13</v>
      </c>
      <c r="H440" s="3">
        <v>6848.1607051178</v>
      </c>
      <c r="I440" s="12">
        <v>24.9491293025893</v>
      </c>
      <c r="J440" s="3">
        <v>746</v>
      </c>
      <c r="K440" s="3" t="b">
        <f t="shared" si="30"/>
        <v>1</v>
      </c>
      <c r="L440" s="3" t="b">
        <f>TRUE()</f>
        <v>1</v>
      </c>
      <c r="M440" s="3" t="s">
        <v>1174</v>
      </c>
      <c r="N440" s="3" t="s">
        <v>85</v>
      </c>
      <c r="O440" s="3" t="b">
        <f>TRUE()</f>
        <v>1</v>
      </c>
      <c r="P440" s="3" t="s">
        <v>1175</v>
      </c>
    </row>
    <row r="441" customHeight="1" spans="1:16">
      <c r="A441" s="3" t="s">
        <v>926</v>
      </c>
      <c r="B441" s="3" t="s">
        <v>927</v>
      </c>
      <c r="C441" s="3">
        <v>58084</v>
      </c>
      <c r="D441" s="3">
        <v>22445</v>
      </c>
      <c r="E441" s="3">
        <v>120000</v>
      </c>
      <c r="F441" s="3">
        <v>36</v>
      </c>
      <c r="G441" s="3">
        <v>13.96</v>
      </c>
      <c r="H441" s="3">
        <v>4098.98464148724</v>
      </c>
      <c r="I441" s="12">
        <v>45.699305560029</v>
      </c>
      <c r="J441" s="3">
        <v>748</v>
      </c>
      <c r="K441" s="3" t="b">
        <f t="shared" si="30"/>
        <v>1</v>
      </c>
      <c r="L441" s="3" t="b">
        <f>TRUE()</f>
        <v>1</v>
      </c>
      <c r="M441" s="3" t="s">
        <v>1174</v>
      </c>
      <c r="N441" s="3" t="s">
        <v>85</v>
      </c>
      <c r="O441" s="3" t="b">
        <f>TRUE()</f>
        <v>1</v>
      </c>
      <c r="P441" s="3" t="s">
        <v>1175</v>
      </c>
    </row>
    <row r="442" customHeight="1" spans="1:16">
      <c r="A442" s="3" t="s">
        <v>928</v>
      </c>
      <c r="B442" s="3" t="s">
        <v>929</v>
      </c>
      <c r="C442" s="3">
        <v>89388</v>
      </c>
      <c r="D442" s="3">
        <v>23656</v>
      </c>
      <c r="E442" s="3">
        <v>330000</v>
      </c>
      <c r="F442" s="3">
        <v>84</v>
      </c>
      <c r="G442" s="3">
        <v>11.66</v>
      </c>
      <c r="H442" s="3">
        <v>5765.56991128631</v>
      </c>
      <c r="I442" s="12">
        <v>32.9144515049966</v>
      </c>
      <c r="J442" s="3">
        <v>684</v>
      </c>
      <c r="K442" s="3" t="b">
        <f t="shared" si="30"/>
        <v>1</v>
      </c>
      <c r="L442" s="3" t="b">
        <f>FALSE()</f>
        <v>0</v>
      </c>
      <c r="M442" s="3" t="s">
        <v>1171</v>
      </c>
      <c r="N442" s="3" t="s">
        <v>85</v>
      </c>
      <c r="O442" s="3" t="b">
        <f>FALSE()</f>
        <v>0</v>
      </c>
      <c r="P442" s="3" t="s">
        <v>1172</v>
      </c>
    </row>
    <row r="443" customHeight="1" spans="1:16">
      <c r="A443" s="3" t="s">
        <v>930</v>
      </c>
      <c r="B443" s="3" t="s">
        <v>931</v>
      </c>
      <c r="C443" s="3">
        <v>58364</v>
      </c>
      <c r="D443" s="3">
        <v>0</v>
      </c>
      <c r="E443" s="3">
        <v>1390000</v>
      </c>
      <c r="F443" s="3">
        <v>84</v>
      </c>
      <c r="G443" s="3">
        <v>11.53</v>
      </c>
      <c r="H443" s="3">
        <v>24189.2997120991</v>
      </c>
      <c r="I443" s="12">
        <v>41.4455824002794</v>
      </c>
      <c r="J443" s="3">
        <v>702</v>
      </c>
      <c r="K443" s="3" t="b">
        <f t="shared" si="30"/>
        <v>1</v>
      </c>
      <c r="L443" s="3" t="b">
        <f>TRUE()</f>
        <v>1</v>
      </c>
      <c r="M443" s="3" t="s">
        <v>1174</v>
      </c>
      <c r="N443" s="3" t="s">
        <v>85</v>
      </c>
      <c r="O443" s="3" t="b">
        <f>TRUE()</f>
        <v>1</v>
      </c>
      <c r="P443" s="3" t="s">
        <v>1175</v>
      </c>
    </row>
    <row r="444" customHeight="1" spans="1:16">
      <c r="A444" s="3" t="s">
        <v>932</v>
      </c>
      <c r="B444" s="3" t="s">
        <v>933</v>
      </c>
      <c r="C444" s="3">
        <v>34322</v>
      </c>
      <c r="D444" s="3">
        <v>2066</v>
      </c>
      <c r="E444" s="3">
        <v>310000</v>
      </c>
      <c r="F444" s="3">
        <v>36</v>
      </c>
      <c r="G444" s="3">
        <v>13.16</v>
      </c>
      <c r="H444" s="3">
        <v>10469.0315837998</v>
      </c>
      <c r="I444" s="12">
        <v>36.5218564879662</v>
      </c>
      <c r="J444" s="3">
        <v>703</v>
      </c>
      <c r="K444" s="3" t="b">
        <f t="shared" si="30"/>
        <v>1</v>
      </c>
      <c r="L444" s="3" t="b">
        <f>TRUE()</f>
        <v>1</v>
      </c>
      <c r="M444" s="3" t="s">
        <v>1174</v>
      </c>
      <c r="N444" s="3" t="s">
        <v>85</v>
      </c>
      <c r="O444" s="3" t="b">
        <f>TRUE()</f>
        <v>1</v>
      </c>
      <c r="P444" s="3" t="s">
        <v>1175</v>
      </c>
    </row>
    <row r="445" customHeight="1" spans="1:16">
      <c r="A445" s="3" t="s">
        <v>934</v>
      </c>
      <c r="B445" s="3" t="s">
        <v>935</v>
      </c>
      <c r="C445" s="3">
        <v>39150</v>
      </c>
      <c r="D445" s="3">
        <v>11302</v>
      </c>
      <c r="E445" s="3">
        <v>1180000</v>
      </c>
      <c r="F445" s="3">
        <v>84</v>
      </c>
      <c r="G445" s="3">
        <v>10.13</v>
      </c>
      <c r="H445" s="3">
        <v>19668.7494203835</v>
      </c>
      <c r="I445" s="12">
        <v>79.1079167825888</v>
      </c>
      <c r="J445" s="3">
        <v>880</v>
      </c>
      <c r="K445" s="3" t="b">
        <f>FALSE()</f>
        <v>0</v>
      </c>
      <c r="L445" s="3" t="b">
        <f>TRUE()</f>
        <v>1</v>
      </c>
      <c r="M445" s="3" t="s">
        <v>1171</v>
      </c>
      <c r="N445" s="3" t="s">
        <v>85</v>
      </c>
      <c r="O445" s="3" t="b">
        <f>FALSE()</f>
        <v>0</v>
      </c>
      <c r="P445" s="3" t="s">
        <v>1172</v>
      </c>
    </row>
    <row r="446" customHeight="1" spans="1:16">
      <c r="A446" s="3" t="s">
        <v>936</v>
      </c>
      <c r="B446" s="3" t="s">
        <v>937</v>
      </c>
      <c r="C446" s="3">
        <v>56603</v>
      </c>
      <c r="D446" s="3">
        <v>0</v>
      </c>
      <c r="E446" s="3">
        <v>240000</v>
      </c>
      <c r="F446" s="3">
        <v>36</v>
      </c>
      <c r="G446" s="3">
        <v>13.99</v>
      </c>
      <c r="H446" s="3">
        <v>8201.46553242172</v>
      </c>
      <c r="I446" s="12">
        <v>14.4894537964803</v>
      </c>
      <c r="J446" s="3">
        <v>830</v>
      </c>
      <c r="K446" s="3" t="b">
        <f>TRUE()</f>
        <v>1</v>
      </c>
      <c r="L446" s="3" t="b">
        <f>TRUE()</f>
        <v>1</v>
      </c>
      <c r="M446" s="3" t="s">
        <v>1174</v>
      </c>
      <c r="N446" s="3" t="s">
        <v>85</v>
      </c>
      <c r="O446" s="3" t="b">
        <f>TRUE()</f>
        <v>1</v>
      </c>
      <c r="P446" s="3" t="s">
        <v>1175</v>
      </c>
    </row>
    <row r="447" customHeight="1" spans="1:16">
      <c r="A447" s="3" t="s">
        <v>938</v>
      </c>
      <c r="B447" s="3" t="s">
        <v>939</v>
      </c>
      <c r="C447" s="3">
        <v>40394</v>
      </c>
      <c r="D447" s="3">
        <v>0</v>
      </c>
      <c r="E447" s="3">
        <v>1170000</v>
      </c>
      <c r="F447" s="3">
        <v>60</v>
      </c>
      <c r="G447" s="3">
        <v>14.8</v>
      </c>
      <c r="H447" s="3">
        <v>27711.539694554</v>
      </c>
      <c r="I447" s="12">
        <v>68.6031086165123</v>
      </c>
      <c r="J447" s="3">
        <v>653</v>
      </c>
      <c r="K447" s="3" t="b">
        <f>FALSE()</f>
        <v>0</v>
      </c>
      <c r="L447" s="3" t="b">
        <f>FALSE()</f>
        <v>0</v>
      </c>
      <c r="M447" s="3" t="s">
        <v>1171</v>
      </c>
      <c r="N447" s="3" t="s">
        <v>85</v>
      </c>
      <c r="O447" s="3" t="b">
        <f>FALSE()</f>
        <v>0</v>
      </c>
      <c r="P447" s="3" t="s">
        <v>1172</v>
      </c>
    </row>
    <row r="448" customHeight="1" spans="1:16">
      <c r="A448" s="3" t="s">
        <v>940</v>
      </c>
      <c r="B448" s="3" t="s">
        <v>941</v>
      </c>
      <c r="C448" s="3">
        <v>60927</v>
      </c>
      <c r="D448" s="3">
        <v>14722</v>
      </c>
      <c r="E448" s="3">
        <v>700000</v>
      </c>
      <c r="F448" s="3">
        <v>60</v>
      </c>
      <c r="G448" s="3">
        <v>9.19</v>
      </c>
      <c r="H448" s="3">
        <v>14595.4827454033</v>
      </c>
      <c r="I448" s="12">
        <v>48.1190321949271</v>
      </c>
      <c r="J448" s="3">
        <v>635</v>
      </c>
      <c r="K448" s="3" t="b">
        <f>TRUE()</f>
        <v>1</v>
      </c>
      <c r="L448" s="3" t="b">
        <f>FALSE()</f>
        <v>0</v>
      </c>
      <c r="M448" s="3" t="s">
        <v>1171</v>
      </c>
      <c r="N448" s="3" t="s">
        <v>85</v>
      </c>
      <c r="O448" s="3" t="b">
        <f>FALSE()</f>
        <v>0</v>
      </c>
      <c r="P448" s="3" t="s">
        <v>1172</v>
      </c>
    </row>
    <row r="449" customHeight="1" spans="1:16">
      <c r="A449" s="3" t="s">
        <v>942</v>
      </c>
      <c r="B449" s="3" t="s">
        <v>943</v>
      </c>
      <c r="C449" s="3">
        <v>45534</v>
      </c>
      <c r="D449" s="3">
        <v>10463</v>
      </c>
      <c r="E449" s="3">
        <v>400000</v>
      </c>
      <c r="F449" s="3">
        <v>36</v>
      </c>
      <c r="G449" s="3">
        <v>13.24</v>
      </c>
      <c r="H449" s="3">
        <v>13523.8668638874</v>
      </c>
      <c r="I449" s="12">
        <v>52.6790241663095</v>
      </c>
      <c r="J449" s="3">
        <v>715</v>
      </c>
      <c r="K449" s="3" t="b">
        <f>FALSE()</f>
        <v>0</v>
      </c>
      <c r="L449" s="3" t="b">
        <f>TRUE()</f>
        <v>1</v>
      </c>
      <c r="M449" s="3" t="s">
        <v>1171</v>
      </c>
      <c r="N449" s="3" t="s">
        <v>85</v>
      </c>
      <c r="O449" s="3" t="b">
        <f>FALSE()</f>
        <v>0</v>
      </c>
      <c r="P449" s="3" t="s">
        <v>1172</v>
      </c>
    </row>
    <row r="450" customHeight="1" spans="1:16">
      <c r="A450" s="3" t="s">
        <v>944</v>
      </c>
      <c r="B450" s="3" t="s">
        <v>945</v>
      </c>
      <c r="C450" s="3">
        <v>33735</v>
      </c>
      <c r="D450" s="3">
        <v>7633</v>
      </c>
      <c r="E450" s="3">
        <v>3620000</v>
      </c>
      <c r="F450" s="3">
        <v>240</v>
      </c>
      <c r="G450" s="3">
        <v>9.63</v>
      </c>
      <c r="H450" s="3">
        <v>34051.0496471383</v>
      </c>
      <c r="I450" s="12">
        <v>123.563212233995</v>
      </c>
      <c r="J450" s="3">
        <v>677</v>
      </c>
      <c r="K450" s="3" t="b">
        <f>FALSE()</f>
        <v>0</v>
      </c>
      <c r="L450" s="3" t="b">
        <f>FALSE()</f>
        <v>0</v>
      </c>
      <c r="M450" s="3" t="s">
        <v>1171</v>
      </c>
      <c r="N450" s="3" t="s">
        <v>85</v>
      </c>
      <c r="O450" s="3" t="b">
        <f>FALSE()</f>
        <v>0</v>
      </c>
      <c r="P450" s="3" t="s">
        <v>1172</v>
      </c>
    </row>
    <row r="451" customHeight="1" spans="1:16">
      <c r="A451" s="3" t="s">
        <v>946</v>
      </c>
      <c r="B451" s="3" t="s">
        <v>947</v>
      </c>
      <c r="C451" s="3">
        <v>53554</v>
      </c>
      <c r="D451" s="3">
        <v>4305</v>
      </c>
      <c r="E451" s="3">
        <v>310000</v>
      </c>
      <c r="F451" s="3">
        <v>48</v>
      </c>
      <c r="G451" s="3">
        <v>11.47</v>
      </c>
      <c r="H451" s="3">
        <v>8083.05218939803</v>
      </c>
      <c r="I451" s="12">
        <v>23.1318896616463</v>
      </c>
      <c r="J451" s="3">
        <v>613</v>
      </c>
      <c r="K451" s="3" t="b">
        <f>TRUE()</f>
        <v>1</v>
      </c>
      <c r="L451" s="3" t="b">
        <f>FALSE()</f>
        <v>0</v>
      </c>
      <c r="M451" s="3" t="s">
        <v>1171</v>
      </c>
      <c r="N451" s="3" t="s">
        <v>85</v>
      </c>
      <c r="O451" s="3" t="b">
        <f>FALSE()</f>
        <v>0</v>
      </c>
      <c r="P451" s="3" t="s">
        <v>1172</v>
      </c>
    </row>
    <row r="452" customHeight="1" spans="1:16">
      <c r="A452" s="3" t="s">
        <v>948</v>
      </c>
      <c r="B452" s="3" t="s">
        <v>949</v>
      </c>
      <c r="C452" s="3">
        <v>57113</v>
      </c>
      <c r="D452" s="3">
        <v>4631</v>
      </c>
      <c r="E452" s="3">
        <v>370000</v>
      </c>
      <c r="F452" s="3">
        <v>48</v>
      </c>
      <c r="G452" s="3">
        <v>10.68</v>
      </c>
      <c r="H452" s="3">
        <v>9505.44660135837</v>
      </c>
      <c r="I452" s="12">
        <v>24.751714323111</v>
      </c>
      <c r="J452" s="3">
        <v>717</v>
      </c>
      <c r="K452" s="3" t="b">
        <f>TRUE()</f>
        <v>1</v>
      </c>
      <c r="L452" s="3" t="b">
        <f>TRUE()</f>
        <v>1</v>
      </c>
      <c r="M452" s="3" t="s">
        <v>1174</v>
      </c>
      <c r="N452" s="3" t="s">
        <v>85</v>
      </c>
      <c r="O452" s="3" t="b">
        <f>TRUE()</f>
        <v>1</v>
      </c>
      <c r="P452" s="3" t="s">
        <v>1175</v>
      </c>
    </row>
    <row r="453" customHeight="1" spans="1:16">
      <c r="A453" s="3" t="s">
        <v>950</v>
      </c>
      <c r="B453" s="3" t="s">
        <v>951</v>
      </c>
      <c r="C453" s="3">
        <v>49640</v>
      </c>
      <c r="D453" s="3">
        <v>19002</v>
      </c>
      <c r="E453" s="3">
        <v>690000</v>
      </c>
      <c r="F453" s="3">
        <v>60</v>
      </c>
      <c r="G453" s="3">
        <v>14.61</v>
      </c>
      <c r="H453" s="3">
        <v>16274.1365918336</v>
      </c>
      <c r="I453" s="12">
        <v>71.0639335049024</v>
      </c>
      <c r="J453" s="3">
        <v>527</v>
      </c>
      <c r="K453" s="3" t="b">
        <f>FALSE()</f>
        <v>0</v>
      </c>
      <c r="L453" s="3" t="b">
        <f t="shared" ref="L453:L459" si="31">FALSE()</f>
        <v>0</v>
      </c>
      <c r="M453" s="3" t="s">
        <v>1171</v>
      </c>
      <c r="N453" s="3" t="s">
        <v>85</v>
      </c>
      <c r="O453" s="3" t="b">
        <f t="shared" ref="O453:O463" si="32">FALSE()</f>
        <v>0</v>
      </c>
      <c r="P453" s="3" t="s">
        <v>1172</v>
      </c>
    </row>
    <row r="454" customHeight="1" spans="1:16">
      <c r="A454" s="3" t="s">
        <v>952</v>
      </c>
      <c r="B454" s="3" t="s">
        <v>953</v>
      </c>
      <c r="C454" s="3">
        <v>73250</v>
      </c>
      <c r="D454" s="3">
        <v>288</v>
      </c>
      <c r="E454" s="3">
        <v>220000</v>
      </c>
      <c r="F454" s="3">
        <v>36</v>
      </c>
      <c r="G454" s="3">
        <v>13.49</v>
      </c>
      <c r="H454" s="3">
        <v>7464.69916473254</v>
      </c>
      <c r="I454" s="12">
        <v>10.5838896446861</v>
      </c>
      <c r="J454" s="3">
        <v>616</v>
      </c>
      <c r="K454" s="3" t="b">
        <f>TRUE()</f>
        <v>1</v>
      </c>
      <c r="L454" s="3" t="b">
        <f t="shared" si="31"/>
        <v>0</v>
      </c>
      <c r="M454" s="3" t="s">
        <v>1171</v>
      </c>
      <c r="N454" s="3" t="s">
        <v>85</v>
      </c>
      <c r="O454" s="3" t="b">
        <f t="shared" si="32"/>
        <v>0</v>
      </c>
      <c r="P454" s="3" t="s">
        <v>1172</v>
      </c>
    </row>
    <row r="455" customHeight="1" spans="1:16">
      <c r="A455" s="3" t="s">
        <v>954</v>
      </c>
      <c r="B455" s="3" t="s">
        <v>955</v>
      </c>
      <c r="C455" s="3">
        <v>94320</v>
      </c>
      <c r="D455" s="3">
        <v>26569</v>
      </c>
      <c r="E455" s="3">
        <v>1390000</v>
      </c>
      <c r="F455" s="3">
        <v>84</v>
      </c>
      <c r="G455" s="3">
        <v>11.36</v>
      </c>
      <c r="H455" s="3">
        <v>24064.1065160951</v>
      </c>
      <c r="I455" s="12">
        <v>53.6822588168947</v>
      </c>
      <c r="J455" s="3">
        <v>657</v>
      </c>
      <c r="K455" s="3" t="b">
        <f>FALSE()</f>
        <v>0</v>
      </c>
      <c r="L455" s="3" t="b">
        <f t="shared" si="31"/>
        <v>0</v>
      </c>
      <c r="M455" s="3" t="s">
        <v>1171</v>
      </c>
      <c r="N455" s="3" t="s">
        <v>85</v>
      </c>
      <c r="O455" s="3" t="b">
        <f t="shared" si="32"/>
        <v>0</v>
      </c>
      <c r="P455" s="3" t="s">
        <v>1172</v>
      </c>
    </row>
    <row r="456" customHeight="1" spans="1:16">
      <c r="A456" s="3" t="s">
        <v>956</v>
      </c>
      <c r="B456" s="3" t="s">
        <v>957</v>
      </c>
      <c r="C456" s="3">
        <v>122963</v>
      </c>
      <c r="D456" s="3">
        <v>37464</v>
      </c>
      <c r="E456" s="3">
        <v>1620000</v>
      </c>
      <c r="F456" s="3">
        <v>240</v>
      </c>
      <c r="G456" s="3">
        <v>8.34</v>
      </c>
      <c r="H456" s="3">
        <v>13895.117212736</v>
      </c>
      <c r="I456" s="12">
        <v>41.7679441886877</v>
      </c>
      <c r="J456" s="3">
        <v>664</v>
      </c>
      <c r="K456" s="3" t="b">
        <f>TRUE()</f>
        <v>1</v>
      </c>
      <c r="L456" s="3" t="b">
        <f t="shared" si="31"/>
        <v>0</v>
      </c>
      <c r="M456" s="3" t="s">
        <v>1171</v>
      </c>
      <c r="N456" s="3" t="s">
        <v>85</v>
      </c>
      <c r="O456" s="3" t="b">
        <f t="shared" si="32"/>
        <v>0</v>
      </c>
      <c r="P456" s="3" t="s">
        <v>1172</v>
      </c>
    </row>
    <row r="457" customHeight="1" spans="1:16">
      <c r="A457" s="3" t="s">
        <v>958</v>
      </c>
      <c r="B457" s="3" t="s">
        <v>959</v>
      </c>
      <c r="C457" s="3">
        <v>33246</v>
      </c>
      <c r="D457" s="3">
        <v>14787</v>
      </c>
      <c r="E457" s="3">
        <v>800000</v>
      </c>
      <c r="F457" s="3">
        <v>84</v>
      </c>
      <c r="G457" s="3">
        <v>10.75</v>
      </c>
      <c r="H457" s="3">
        <v>13593.0170618726</v>
      </c>
      <c r="I457" s="12">
        <v>85.3637040903343</v>
      </c>
      <c r="J457" s="3">
        <v>679</v>
      </c>
      <c r="K457" s="3" t="b">
        <f>FALSE()</f>
        <v>0</v>
      </c>
      <c r="L457" s="3" t="b">
        <f t="shared" si="31"/>
        <v>0</v>
      </c>
      <c r="M457" s="3" t="s">
        <v>1171</v>
      </c>
      <c r="N457" s="3" t="s">
        <v>85</v>
      </c>
      <c r="O457" s="3" t="b">
        <f t="shared" si="32"/>
        <v>0</v>
      </c>
      <c r="P457" s="3" t="s">
        <v>1172</v>
      </c>
    </row>
    <row r="458" customHeight="1" spans="1:16">
      <c r="A458" s="3" t="s">
        <v>960</v>
      </c>
      <c r="B458" s="3" t="s">
        <v>961</v>
      </c>
      <c r="C458" s="3">
        <v>87846</v>
      </c>
      <c r="D458" s="3">
        <v>33711</v>
      </c>
      <c r="E458" s="3">
        <v>250000</v>
      </c>
      <c r="F458" s="3">
        <v>36</v>
      </c>
      <c r="G458" s="3">
        <v>14.34</v>
      </c>
      <c r="H458" s="3">
        <v>8585.74923136562</v>
      </c>
      <c r="I458" s="12">
        <v>48.1487480720416</v>
      </c>
      <c r="J458" s="3">
        <v>684</v>
      </c>
      <c r="K458" s="3" t="b">
        <f>TRUE()</f>
        <v>1</v>
      </c>
      <c r="L458" s="3" t="b">
        <f t="shared" si="31"/>
        <v>0</v>
      </c>
      <c r="M458" s="3" t="s">
        <v>1171</v>
      </c>
      <c r="N458" s="3" t="s">
        <v>85</v>
      </c>
      <c r="O458" s="3" t="b">
        <f t="shared" si="32"/>
        <v>0</v>
      </c>
      <c r="P458" s="3" t="s">
        <v>1172</v>
      </c>
    </row>
    <row r="459" customHeight="1" spans="1:16">
      <c r="A459" s="3" t="s">
        <v>962</v>
      </c>
      <c r="B459" s="3" t="s">
        <v>963</v>
      </c>
      <c r="C459" s="3">
        <v>30319</v>
      </c>
      <c r="D459" s="3">
        <v>0</v>
      </c>
      <c r="E459" s="3">
        <v>410000</v>
      </c>
      <c r="F459" s="3">
        <v>60</v>
      </c>
      <c r="G459" s="3">
        <v>15.08</v>
      </c>
      <c r="H459" s="3">
        <v>9771.09691629499</v>
      </c>
      <c r="I459" s="12">
        <v>32.2276358596754</v>
      </c>
      <c r="J459" s="3">
        <v>679</v>
      </c>
      <c r="K459" s="3" t="b">
        <f>TRUE()</f>
        <v>1</v>
      </c>
      <c r="L459" s="3" t="b">
        <f t="shared" si="31"/>
        <v>0</v>
      </c>
      <c r="M459" s="3" t="s">
        <v>1171</v>
      </c>
      <c r="N459" s="3" t="s">
        <v>85</v>
      </c>
      <c r="O459" s="3" t="b">
        <f t="shared" si="32"/>
        <v>0</v>
      </c>
      <c r="P459" s="3" t="s">
        <v>1172</v>
      </c>
    </row>
    <row r="460" customHeight="1" spans="1:16">
      <c r="A460" s="3" t="s">
        <v>964</v>
      </c>
      <c r="B460" s="3" t="s">
        <v>965</v>
      </c>
      <c r="C460" s="3">
        <v>47097</v>
      </c>
      <c r="D460" s="3">
        <v>0</v>
      </c>
      <c r="E460" s="3">
        <v>1400000</v>
      </c>
      <c r="F460" s="3">
        <v>60</v>
      </c>
      <c r="G460" s="3">
        <v>13.89</v>
      </c>
      <c r="H460" s="3">
        <v>32495.7669386093</v>
      </c>
      <c r="I460" s="12">
        <v>68.9975304979283</v>
      </c>
      <c r="J460" s="3">
        <v>710</v>
      </c>
      <c r="K460" s="3" t="b">
        <f>FALSE()</f>
        <v>0</v>
      </c>
      <c r="L460" s="3" t="b">
        <f>TRUE()</f>
        <v>1</v>
      </c>
      <c r="M460" s="3" t="s">
        <v>1171</v>
      </c>
      <c r="N460" s="3" t="s">
        <v>85</v>
      </c>
      <c r="O460" s="3" t="b">
        <f t="shared" si="32"/>
        <v>0</v>
      </c>
      <c r="P460" s="3" t="s">
        <v>1172</v>
      </c>
    </row>
    <row r="461" customHeight="1" spans="1:16">
      <c r="A461" s="3" t="s">
        <v>966</v>
      </c>
      <c r="B461" s="3" t="s">
        <v>967</v>
      </c>
      <c r="C461" s="3">
        <v>33234</v>
      </c>
      <c r="D461" s="3">
        <v>10236</v>
      </c>
      <c r="E461" s="3">
        <v>950000</v>
      </c>
      <c r="F461" s="3">
        <v>60</v>
      </c>
      <c r="G461" s="3">
        <v>9.36</v>
      </c>
      <c r="H461" s="3">
        <v>19886.8348039539</v>
      </c>
      <c r="I461" s="12">
        <v>90.6386074620987</v>
      </c>
      <c r="J461" s="3">
        <v>783</v>
      </c>
      <c r="K461" s="3" t="b">
        <f>FALSE()</f>
        <v>0</v>
      </c>
      <c r="L461" s="3" t="b">
        <f>TRUE()</f>
        <v>1</v>
      </c>
      <c r="M461" s="3" t="s">
        <v>1171</v>
      </c>
      <c r="N461" s="3" t="s">
        <v>85</v>
      </c>
      <c r="O461" s="3" t="b">
        <f t="shared" si="32"/>
        <v>0</v>
      </c>
      <c r="P461" s="3" t="s">
        <v>1172</v>
      </c>
    </row>
    <row r="462" customHeight="1" spans="1:16">
      <c r="A462" s="3" t="s">
        <v>968</v>
      </c>
      <c r="B462" s="3" t="s">
        <v>969</v>
      </c>
      <c r="C462" s="3">
        <v>154015</v>
      </c>
      <c r="D462" s="3">
        <v>0</v>
      </c>
      <c r="E462" s="3">
        <v>900000</v>
      </c>
      <c r="F462" s="3">
        <v>84</v>
      </c>
      <c r="G462" s="3">
        <v>10.93</v>
      </c>
      <c r="H462" s="3">
        <v>15377.0878377255</v>
      </c>
      <c r="I462" s="12">
        <v>9.98414949045578</v>
      </c>
      <c r="J462" s="3">
        <v>585</v>
      </c>
      <c r="K462" s="3" t="b">
        <f>TRUE()</f>
        <v>1</v>
      </c>
      <c r="L462" s="3" t="b">
        <f>FALSE()</f>
        <v>0</v>
      </c>
      <c r="M462" s="3" t="s">
        <v>1171</v>
      </c>
      <c r="N462" s="3" t="s">
        <v>85</v>
      </c>
      <c r="O462" s="3" t="b">
        <f t="shared" si="32"/>
        <v>0</v>
      </c>
      <c r="P462" s="3" t="s">
        <v>1172</v>
      </c>
    </row>
    <row r="463" customHeight="1" spans="1:16">
      <c r="A463" s="3" t="s">
        <v>970</v>
      </c>
      <c r="B463" s="3" t="s">
        <v>971</v>
      </c>
      <c r="C463" s="3">
        <v>59909</v>
      </c>
      <c r="D463" s="3">
        <v>0</v>
      </c>
      <c r="E463" s="3">
        <v>340000</v>
      </c>
      <c r="F463" s="3">
        <v>36</v>
      </c>
      <c r="G463" s="3">
        <v>14.21</v>
      </c>
      <c r="H463" s="3">
        <v>11655.1025739515</v>
      </c>
      <c r="I463" s="12">
        <v>19.4546772170317</v>
      </c>
      <c r="J463" s="3">
        <v>620</v>
      </c>
      <c r="K463" s="3" t="b">
        <f>TRUE()</f>
        <v>1</v>
      </c>
      <c r="L463" s="3" t="b">
        <f>FALSE()</f>
        <v>0</v>
      </c>
      <c r="M463" s="3" t="s">
        <v>1171</v>
      </c>
      <c r="N463" s="3" t="s">
        <v>85</v>
      </c>
      <c r="O463" s="3" t="b">
        <f t="shared" si="32"/>
        <v>0</v>
      </c>
      <c r="P463" s="3" t="s">
        <v>1172</v>
      </c>
    </row>
    <row r="464" customHeight="1" spans="1:16">
      <c r="A464" s="3" t="s">
        <v>972</v>
      </c>
      <c r="B464" s="3" t="s">
        <v>973</v>
      </c>
      <c r="C464" s="3">
        <v>22067</v>
      </c>
      <c r="D464" s="3">
        <v>7551</v>
      </c>
      <c r="E464" s="3">
        <v>1130000</v>
      </c>
      <c r="F464" s="3">
        <v>60</v>
      </c>
      <c r="G464" s="3">
        <v>14.96</v>
      </c>
      <c r="H464" s="3">
        <v>26858.9007918481</v>
      </c>
      <c r="I464" s="12">
        <v>155.933750812743</v>
      </c>
      <c r="J464" s="3">
        <v>699</v>
      </c>
      <c r="K464" s="3" t="b">
        <f>FALSE()</f>
        <v>0</v>
      </c>
      <c r="L464" s="3" t="b">
        <f>FALSE()</f>
        <v>0</v>
      </c>
      <c r="M464" s="3" t="s">
        <v>1171</v>
      </c>
      <c r="N464" s="3" t="s">
        <v>91</v>
      </c>
      <c r="O464" s="3" t="b">
        <f>TRUE()</f>
        <v>1</v>
      </c>
      <c r="P464" s="3" t="s">
        <v>1173</v>
      </c>
    </row>
    <row r="465" customHeight="1" spans="1:16">
      <c r="A465" s="3" t="s">
        <v>974</v>
      </c>
      <c r="B465" s="3" t="s">
        <v>372</v>
      </c>
      <c r="C465" s="3">
        <v>91848</v>
      </c>
      <c r="D465" s="3">
        <v>0</v>
      </c>
      <c r="E465" s="3">
        <v>670000</v>
      </c>
      <c r="F465" s="3">
        <v>60</v>
      </c>
      <c r="G465" s="3">
        <v>14.66</v>
      </c>
      <c r="H465" s="3">
        <v>15819.9280843098</v>
      </c>
      <c r="I465" s="12">
        <v>17.2240310995447</v>
      </c>
      <c r="J465" s="3">
        <v>732</v>
      </c>
      <c r="K465" s="3" t="b">
        <f>TRUE()</f>
        <v>1</v>
      </c>
      <c r="L465" s="3" t="b">
        <f>TRUE()</f>
        <v>1</v>
      </c>
      <c r="M465" s="3" t="s">
        <v>1174</v>
      </c>
      <c r="N465" s="3" t="s">
        <v>85</v>
      </c>
      <c r="O465" s="3" t="b">
        <f>TRUE()</f>
        <v>1</v>
      </c>
      <c r="P465" s="3" t="s">
        <v>1175</v>
      </c>
    </row>
    <row r="466" customHeight="1" spans="1:16">
      <c r="A466" s="3" t="s">
        <v>975</v>
      </c>
      <c r="B466" s="3" t="s">
        <v>976</v>
      </c>
      <c r="C466" s="3">
        <v>51178</v>
      </c>
      <c r="D466" s="3">
        <v>0</v>
      </c>
      <c r="E466" s="3">
        <v>3410000</v>
      </c>
      <c r="F466" s="3">
        <v>240</v>
      </c>
      <c r="G466" s="3">
        <v>8.7</v>
      </c>
      <c r="H466" s="3">
        <v>30025.8317044852</v>
      </c>
      <c r="I466" s="12">
        <v>58.6694120608176</v>
      </c>
      <c r="J466" s="3">
        <v>729</v>
      </c>
      <c r="K466" s="3" t="b">
        <f>FALSE()</f>
        <v>0</v>
      </c>
      <c r="L466" s="3" t="b">
        <f>TRUE()</f>
        <v>1</v>
      </c>
      <c r="M466" s="3" t="s">
        <v>1171</v>
      </c>
      <c r="N466" s="3" t="s">
        <v>85</v>
      </c>
      <c r="O466" s="3" t="b">
        <f>FALSE()</f>
        <v>0</v>
      </c>
      <c r="P466" s="3" t="s">
        <v>1172</v>
      </c>
    </row>
    <row r="467" customHeight="1" spans="1:16">
      <c r="A467" s="3" t="s">
        <v>977</v>
      </c>
      <c r="B467" s="3" t="s">
        <v>978</v>
      </c>
      <c r="C467" s="3">
        <v>51522</v>
      </c>
      <c r="D467" s="3">
        <v>20579</v>
      </c>
      <c r="E467" s="3">
        <v>1080000</v>
      </c>
      <c r="F467" s="3">
        <v>60</v>
      </c>
      <c r="G467" s="3">
        <v>9.02</v>
      </c>
      <c r="H467" s="3">
        <v>22429.5082598097</v>
      </c>
      <c r="I467" s="12">
        <v>83.476006870482</v>
      </c>
      <c r="J467" s="3">
        <v>679</v>
      </c>
      <c r="K467" s="3" t="b">
        <f>FALSE()</f>
        <v>0</v>
      </c>
      <c r="L467" s="3" t="b">
        <f>FALSE()</f>
        <v>0</v>
      </c>
      <c r="M467" s="3" t="s">
        <v>1171</v>
      </c>
      <c r="N467" s="3" t="s">
        <v>85</v>
      </c>
      <c r="O467" s="3" t="b">
        <f>FALSE()</f>
        <v>0</v>
      </c>
      <c r="P467" s="3" t="s">
        <v>1172</v>
      </c>
    </row>
    <row r="468" customHeight="1" spans="1:16">
      <c r="A468" s="3" t="s">
        <v>979</v>
      </c>
      <c r="B468" s="3" t="s">
        <v>980</v>
      </c>
      <c r="C468" s="3">
        <v>84487</v>
      </c>
      <c r="D468" s="3">
        <v>26113</v>
      </c>
      <c r="E468" s="3">
        <v>230000</v>
      </c>
      <c r="F468" s="3">
        <v>60</v>
      </c>
      <c r="G468" s="3">
        <v>9.41</v>
      </c>
      <c r="H468" s="3">
        <v>4820.31844552656</v>
      </c>
      <c r="I468" s="12">
        <v>36.6131102365175</v>
      </c>
      <c r="J468" s="3">
        <v>720</v>
      </c>
      <c r="K468" s="3" t="b">
        <f>TRUE()</f>
        <v>1</v>
      </c>
      <c r="L468" s="3" t="b">
        <f>TRUE()</f>
        <v>1</v>
      </c>
      <c r="M468" s="3" t="s">
        <v>1174</v>
      </c>
      <c r="N468" s="3" t="s">
        <v>85</v>
      </c>
      <c r="O468" s="3" t="b">
        <f>TRUE()</f>
        <v>1</v>
      </c>
      <c r="P468" s="3" t="s">
        <v>1175</v>
      </c>
    </row>
    <row r="469" customHeight="1" spans="1:16">
      <c r="A469" s="3" t="s">
        <v>981</v>
      </c>
      <c r="B469" s="3" t="s">
        <v>982</v>
      </c>
      <c r="C469" s="3">
        <v>94586</v>
      </c>
      <c r="D469" s="3">
        <v>26626</v>
      </c>
      <c r="E469" s="3">
        <v>1030000</v>
      </c>
      <c r="F469" s="3">
        <v>60</v>
      </c>
      <c r="G469" s="3">
        <v>14.38</v>
      </c>
      <c r="H469" s="3">
        <v>24169.697718905</v>
      </c>
      <c r="I469" s="12">
        <v>53.7031883353826</v>
      </c>
      <c r="J469" s="3">
        <v>743</v>
      </c>
      <c r="K469" s="3" t="b">
        <f>FALSE()</f>
        <v>0</v>
      </c>
      <c r="L469" s="3" t="b">
        <f>TRUE()</f>
        <v>1</v>
      </c>
      <c r="M469" s="3" t="s">
        <v>1171</v>
      </c>
      <c r="N469" s="3" t="s">
        <v>85</v>
      </c>
      <c r="O469" s="3" t="b">
        <f>FALSE()</f>
        <v>0</v>
      </c>
      <c r="P469" s="3" t="s">
        <v>1172</v>
      </c>
    </row>
    <row r="470" customHeight="1" spans="1:16">
      <c r="A470" s="3" t="s">
        <v>983</v>
      </c>
      <c r="B470" s="3" t="s">
        <v>984</v>
      </c>
      <c r="C470" s="3">
        <v>61433</v>
      </c>
      <c r="D470" s="3">
        <v>3369</v>
      </c>
      <c r="E470" s="3">
        <v>460000</v>
      </c>
      <c r="F470" s="3">
        <v>84</v>
      </c>
      <c r="G470" s="3">
        <v>10.8</v>
      </c>
      <c r="H470" s="3">
        <v>7828.03116155009</v>
      </c>
      <c r="I470" s="12">
        <v>18.2264111496266</v>
      </c>
      <c r="J470" s="3">
        <v>697</v>
      </c>
      <c r="K470" s="3" t="b">
        <f>TRUE()</f>
        <v>1</v>
      </c>
      <c r="L470" s="3" t="b">
        <f>FALSE()</f>
        <v>0</v>
      </c>
      <c r="M470" s="3" t="s">
        <v>1171</v>
      </c>
      <c r="N470" s="3" t="s">
        <v>85</v>
      </c>
      <c r="O470" s="3" t="b">
        <f>FALSE()</f>
        <v>0</v>
      </c>
      <c r="P470" s="3" t="s">
        <v>1172</v>
      </c>
    </row>
    <row r="471" customHeight="1" spans="1:16">
      <c r="A471" s="3" t="s">
        <v>985</v>
      </c>
      <c r="B471" s="3" t="s">
        <v>986</v>
      </c>
      <c r="C471" s="3">
        <v>91768</v>
      </c>
      <c r="D471" s="3">
        <v>32008</v>
      </c>
      <c r="E471" s="3">
        <v>290000</v>
      </c>
      <c r="F471" s="3">
        <v>84</v>
      </c>
      <c r="G471" s="3">
        <v>10.22</v>
      </c>
      <c r="H471" s="3">
        <v>4847.37269101987</v>
      </c>
      <c r="I471" s="12">
        <v>40.1614644440544</v>
      </c>
      <c r="J471" s="3">
        <v>845</v>
      </c>
      <c r="K471" s="3" t="b">
        <f>TRUE()</f>
        <v>1</v>
      </c>
      <c r="L471" s="3" t="b">
        <f>TRUE()</f>
        <v>1</v>
      </c>
      <c r="M471" s="3" t="s">
        <v>1174</v>
      </c>
      <c r="N471" s="3" t="s">
        <v>85</v>
      </c>
      <c r="O471" s="3" t="b">
        <f>TRUE()</f>
        <v>1</v>
      </c>
      <c r="P471" s="3" t="s">
        <v>1175</v>
      </c>
    </row>
    <row r="472" customHeight="1" spans="1:16">
      <c r="A472" s="3" t="s">
        <v>987</v>
      </c>
      <c r="B472" s="3" t="s">
        <v>988</v>
      </c>
      <c r="C472" s="3">
        <v>39370</v>
      </c>
      <c r="D472" s="3">
        <v>16496</v>
      </c>
      <c r="E472" s="3">
        <v>660000</v>
      </c>
      <c r="F472" s="3">
        <v>84</v>
      </c>
      <c r="G472" s="3">
        <v>10.41</v>
      </c>
      <c r="H472" s="3">
        <v>11097.1059548669</v>
      </c>
      <c r="I472" s="12">
        <v>70.0866292986205</v>
      </c>
      <c r="J472" s="3">
        <v>678</v>
      </c>
      <c r="K472" s="3" t="b">
        <f>FALSE()</f>
        <v>0</v>
      </c>
      <c r="L472" s="3" t="b">
        <f>FALSE()</f>
        <v>0</v>
      </c>
      <c r="M472" s="3" t="s">
        <v>1171</v>
      </c>
      <c r="N472" s="3" t="s">
        <v>85</v>
      </c>
      <c r="O472" s="3" t="b">
        <f>FALSE()</f>
        <v>0</v>
      </c>
      <c r="P472" s="3" t="s">
        <v>1172</v>
      </c>
    </row>
    <row r="473" customHeight="1" spans="1:16">
      <c r="A473" s="3" t="s">
        <v>989</v>
      </c>
      <c r="B473" s="3" t="s">
        <v>990</v>
      </c>
      <c r="C473" s="3">
        <v>63338</v>
      </c>
      <c r="D473" s="3">
        <v>0</v>
      </c>
      <c r="E473" s="3">
        <v>780000</v>
      </c>
      <c r="F473" s="3">
        <v>84</v>
      </c>
      <c r="G473" s="3">
        <v>10.32</v>
      </c>
      <c r="H473" s="3">
        <v>13078.2556418818</v>
      </c>
      <c r="I473" s="12">
        <v>20.648355871486</v>
      </c>
      <c r="J473" s="3">
        <v>774</v>
      </c>
      <c r="K473" s="3" t="b">
        <f>TRUE()</f>
        <v>1</v>
      </c>
      <c r="L473" s="3" t="b">
        <f>TRUE()</f>
        <v>1</v>
      </c>
      <c r="M473" s="3" t="s">
        <v>1174</v>
      </c>
      <c r="N473" s="3" t="s">
        <v>85</v>
      </c>
      <c r="O473" s="3" t="b">
        <f>TRUE()</f>
        <v>1</v>
      </c>
      <c r="P473" s="3" t="s">
        <v>1175</v>
      </c>
    </row>
    <row r="474" customHeight="1" spans="1:16">
      <c r="A474" s="3" t="s">
        <v>991</v>
      </c>
      <c r="B474" s="3" t="s">
        <v>992</v>
      </c>
      <c r="C474" s="3">
        <v>30547</v>
      </c>
      <c r="D474" s="3">
        <v>0</v>
      </c>
      <c r="E474" s="3">
        <v>850000</v>
      </c>
      <c r="F474" s="3">
        <v>60</v>
      </c>
      <c r="G474" s="3">
        <v>9.29</v>
      </c>
      <c r="H474" s="3">
        <v>17764.4765466563</v>
      </c>
      <c r="I474" s="12">
        <v>58.1545701596106</v>
      </c>
      <c r="J474" s="3">
        <v>764</v>
      </c>
      <c r="K474" s="3" t="b">
        <f>FALSE()</f>
        <v>0</v>
      </c>
      <c r="L474" s="3" t="b">
        <f>TRUE()</f>
        <v>1</v>
      </c>
      <c r="M474" s="3" t="s">
        <v>1171</v>
      </c>
      <c r="N474" s="3" t="s">
        <v>85</v>
      </c>
      <c r="O474" s="3" t="b">
        <f>FALSE()</f>
        <v>0</v>
      </c>
      <c r="P474" s="3" t="s">
        <v>1172</v>
      </c>
    </row>
    <row r="475" customHeight="1" spans="1:16">
      <c r="A475" s="3" t="s">
        <v>993</v>
      </c>
      <c r="B475" s="3" t="s">
        <v>994</v>
      </c>
      <c r="C475" s="3">
        <v>73919</v>
      </c>
      <c r="D475" s="3">
        <v>6230</v>
      </c>
      <c r="E475" s="3">
        <v>2600000</v>
      </c>
      <c r="F475" s="3">
        <v>240</v>
      </c>
      <c r="G475" s="3">
        <v>8.98</v>
      </c>
      <c r="H475" s="3">
        <v>23359.4421948356</v>
      </c>
      <c r="I475" s="12">
        <v>40.02954882349</v>
      </c>
      <c r="J475" s="3">
        <v>641</v>
      </c>
      <c r="K475" s="3" t="b">
        <f>TRUE()</f>
        <v>1</v>
      </c>
      <c r="L475" s="3" t="b">
        <f>FALSE()</f>
        <v>0</v>
      </c>
      <c r="M475" s="3" t="s">
        <v>1171</v>
      </c>
      <c r="N475" s="3" t="s">
        <v>85</v>
      </c>
      <c r="O475" s="3" t="b">
        <f>FALSE()</f>
        <v>0</v>
      </c>
      <c r="P475" s="3" t="s">
        <v>1172</v>
      </c>
    </row>
    <row r="476" customHeight="1" spans="1:16">
      <c r="A476" s="3" t="s">
        <v>995</v>
      </c>
      <c r="B476" s="3" t="s">
        <v>511</v>
      </c>
      <c r="C476" s="3">
        <v>28289</v>
      </c>
      <c r="D476" s="3">
        <v>0</v>
      </c>
      <c r="E476" s="3">
        <v>1120000</v>
      </c>
      <c r="F476" s="3">
        <v>84</v>
      </c>
      <c r="G476" s="3">
        <v>10.49</v>
      </c>
      <c r="H476" s="3">
        <v>18878.1163610971</v>
      </c>
      <c r="I476" s="12">
        <v>66.7330635975011</v>
      </c>
      <c r="J476" s="3">
        <v>736</v>
      </c>
      <c r="K476" s="3" t="b">
        <f>FALSE()</f>
        <v>0</v>
      </c>
      <c r="L476" s="3" t="b">
        <f>TRUE()</f>
        <v>1</v>
      </c>
      <c r="M476" s="3" t="s">
        <v>1171</v>
      </c>
      <c r="N476" s="3" t="s">
        <v>85</v>
      </c>
      <c r="O476" s="3" t="b">
        <f>FALSE()</f>
        <v>0</v>
      </c>
      <c r="P476" s="3" t="s">
        <v>1172</v>
      </c>
    </row>
    <row r="477" customHeight="1" spans="1:16">
      <c r="A477" s="3" t="s">
        <v>996</v>
      </c>
      <c r="B477" s="3" t="s">
        <v>992</v>
      </c>
      <c r="C477" s="3">
        <v>57332</v>
      </c>
      <c r="D477" s="3">
        <v>0</v>
      </c>
      <c r="E477" s="3">
        <v>4300000</v>
      </c>
      <c r="F477" s="3">
        <v>240</v>
      </c>
      <c r="G477" s="3">
        <v>9.59</v>
      </c>
      <c r="H477" s="3">
        <v>40334.695101881</v>
      </c>
      <c r="I477" s="12">
        <v>70.3528484997575</v>
      </c>
      <c r="J477" s="3">
        <v>746</v>
      </c>
      <c r="K477" s="3" t="b">
        <f>FALSE()</f>
        <v>0</v>
      </c>
      <c r="L477" s="3" t="b">
        <f>TRUE()</f>
        <v>1</v>
      </c>
      <c r="M477" s="3" t="s">
        <v>1171</v>
      </c>
      <c r="N477" s="3" t="s">
        <v>85</v>
      </c>
      <c r="O477" s="3" t="b">
        <f>FALSE()</f>
        <v>0</v>
      </c>
      <c r="P477" s="3" t="s">
        <v>1172</v>
      </c>
    </row>
    <row r="478" customHeight="1" spans="1:16">
      <c r="A478" s="3" t="s">
        <v>997</v>
      </c>
      <c r="B478" s="3" t="s">
        <v>998</v>
      </c>
      <c r="C478" s="3">
        <v>75689</v>
      </c>
      <c r="D478" s="3">
        <v>23065</v>
      </c>
      <c r="E478" s="3">
        <v>230000</v>
      </c>
      <c r="F478" s="3">
        <v>48</v>
      </c>
      <c r="G478" s="3">
        <v>11.22</v>
      </c>
      <c r="H478" s="3">
        <v>5969.07298912036</v>
      </c>
      <c r="I478" s="12">
        <v>38.3596995456676</v>
      </c>
      <c r="J478" s="3">
        <v>723</v>
      </c>
      <c r="K478" s="3" t="b">
        <f>TRUE()</f>
        <v>1</v>
      </c>
      <c r="L478" s="3" t="b">
        <f>TRUE()</f>
        <v>1</v>
      </c>
      <c r="M478" s="3" t="s">
        <v>1174</v>
      </c>
      <c r="N478" s="3" t="s">
        <v>85</v>
      </c>
      <c r="O478" s="3" t="b">
        <f>TRUE()</f>
        <v>1</v>
      </c>
      <c r="P478" s="3" t="s">
        <v>1175</v>
      </c>
    </row>
    <row r="479" customHeight="1" spans="1:16">
      <c r="A479" s="3" t="s">
        <v>999</v>
      </c>
      <c r="B479" s="3" t="s">
        <v>1000</v>
      </c>
      <c r="C479" s="3">
        <v>58703</v>
      </c>
      <c r="D479" s="3">
        <v>0</v>
      </c>
      <c r="E479" s="3">
        <v>1180000</v>
      </c>
      <c r="F479" s="3">
        <v>84</v>
      </c>
      <c r="G479" s="3">
        <v>10.37</v>
      </c>
      <c r="H479" s="3">
        <v>19815.7242880749</v>
      </c>
      <c r="I479" s="12">
        <v>33.7558971229323</v>
      </c>
      <c r="J479" s="3">
        <v>706</v>
      </c>
      <c r="K479" s="3" t="b">
        <f>TRUE()</f>
        <v>1</v>
      </c>
      <c r="L479" s="3" t="b">
        <f>TRUE()</f>
        <v>1</v>
      </c>
      <c r="M479" s="3" t="s">
        <v>1174</v>
      </c>
      <c r="N479" s="3" t="s">
        <v>85</v>
      </c>
      <c r="O479" s="3" t="b">
        <f>TRUE()</f>
        <v>1</v>
      </c>
      <c r="P479" s="3" t="s">
        <v>1175</v>
      </c>
    </row>
    <row r="480" customHeight="1" spans="1:16">
      <c r="A480" s="3" t="s">
        <v>1001</v>
      </c>
      <c r="B480" s="3" t="s">
        <v>412</v>
      </c>
      <c r="C480" s="3">
        <v>52279</v>
      </c>
      <c r="D480" s="3">
        <v>20872</v>
      </c>
      <c r="E480" s="3">
        <v>1440000</v>
      </c>
      <c r="F480" s="3">
        <v>240</v>
      </c>
      <c r="G480" s="3">
        <v>8.54</v>
      </c>
      <c r="H480" s="3">
        <v>12533.1343989925</v>
      </c>
      <c r="I480" s="12">
        <v>63.8978067656086</v>
      </c>
      <c r="J480" s="3">
        <v>672</v>
      </c>
      <c r="K480" s="3" t="b">
        <f>FALSE()</f>
        <v>0</v>
      </c>
      <c r="L480" s="3" t="b">
        <f>FALSE()</f>
        <v>0</v>
      </c>
      <c r="M480" s="3" t="s">
        <v>1171</v>
      </c>
      <c r="N480" s="3" t="s">
        <v>85</v>
      </c>
      <c r="O480" s="3" t="b">
        <f t="shared" ref="O480:O485" si="33">FALSE()</f>
        <v>0</v>
      </c>
      <c r="P480" s="3" t="s">
        <v>1172</v>
      </c>
    </row>
    <row r="481" customHeight="1" spans="1:16">
      <c r="A481" s="3" t="s">
        <v>1002</v>
      </c>
      <c r="B481" s="3" t="s">
        <v>1003</v>
      </c>
      <c r="C481" s="3">
        <v>87967</v>
      </c>
      <c r="D481" s="3">
        <v>5641</v>
      </c>
      <c r="E481" s="3">
        <v>360000</v>
      </c>
      <c r="F481" s="3">
        <v>84</v>
      </c>
      <c r="G481" s="3">
        <v>10.76</v>
      </c>
      <c r="H481" s="3">
        <v>6118.74254069307</v>
      </c>
      <c r="I481" s="12">
        <v>13.3683569300909</v>
      </c>
      <c r="J481" s="3">
        <v>685</v>
      </c>
      <c r="K481" s="3" t="b">
        <f>TRUE()</f>
        <v>1</v>
      </c>
      <c r="L481" s="3" t="b">
        <f>FALSE()</f>
        <v>0</v>
      </c>
      <c r="M481" s="3" t="s">
        <v>1171</v>
      </c>
      <c r="N481" s="3" t="s">
        <v>85</v>
      </c>
      <c r="O481" s="3" t="b">
        <f t="shared" si="33"/>
        <v>0</v>
      </c>
      <c r="P481" s="3" t="s">
        <v>1172</v>
      </c>
    </row>
    <row r="482" customHeight="1" spans="1:16">
      <c r="A482" s="3" t="s">
        <v>1004</v>
      </c>
      <c r="B482" s="3" t="s">
        <v>1005</v>
      </c>
      <c r="C482" s="3">
        <v>45691</v>
      </c>
      <c r="D482" s="3">
        <v>16249</v>
      </c>
      <c r="E482" s="3">
        <v>490000</v>
      </c>
      <c r="F482" s="3">
        <v>60</v>
      </c>
      <c r="G482" s="3">
        <v>14.63</v>
      </c>
      <c r="H482" s="3">
        <v>11562.1156401261</v>
      </c>
      <c r="I482" s="12">
        <v>60.8678200085927</v>
      </c>
      <c r="J482" s="3">
        <v>692</v>
      </c>
      <c r="K482" s="3" t="b">
        <f>FALSE()</f>
        <v>0</v>
      </c>
      <c r="L482" s="3" t="b">
        <f>FALSE()</f>
        <v>0</v>
      </c>
      <c r="M482" s="3" t="s">
        <v>1171</v>
      </c>
      <c r="N482" s="3" t="s">
        <v>85</v>
      </c>
      <c r="O482" s="3" t="b">
        <f t="shared" si="33"/>
        <v>0</v>
      </c>
      <c r="P482" s="3" t="s">
        <v>1172</v>
      </c>
    </row>
    <row r="483" customHeight="1" spans="1:16">
      <c r="A483" s="3" t="s">
        <v>1006</v>
      </c>
      <c r="B483" s="3" t="s">
        <v>402</v>
      </c>
      <c r="C483" s="3">
        <v>81458</v>
      </c>
      <c r="D483" s="3">
        <v>13284</v>
      </c>
      <c r="E483" s="3">
        <v>440000</v>
      </c>
      <c r="F483" s="3">
        <v>36</v>
      </c>
      <c r="G483" s="3">
        <v>13.16</v>
      </c>
      <c r="H483" s="3">
        <v>14859.2706350706</v>
      </c>
      <c r="I483" s="12">
        <v>34.5494250227978</v>
      </c>
      <c r="J483" s="3">
        <v>700</v>
      </c>
      <c r="K483" s="3" t="b">
        <f>TRUE()</f>
        <v>1</v>
      </c>
      <c r="L483" s="3" t="b">
        <f>TRUE()</f>
        <v>1</v>
      </c>
      <c r="M483" s="3" t="s">
        <v>1174</v>
      </c>
      <c r="N483" s="3" t="s">
        <v>91</v>
      </c>
      <c r="O483" s="3" t="b">
        <f t="shared" si="33"/>
        <v>0</v>
      </c>
      <c r="P483" s="3" t="s">
        <v>1176</v>
      </c>
    </row>
    <row r="484" customHeight="1" spans="1:16">
      <c r="A484" s="3" t="s">
        <v>1007</v>
      </c>
      <c r="B484" s="3" t="s">
        <v>374</v>
      </c>
      <c r="C484" s="3">
        <v>52273</v>
      </c>
      <c r="D484" s="3">
        <v>17770</v>
      </c>
      <c r="E484" s="3">
        <v>600000</v>
      </c>
      <c r="F484" s="3">
        <v>84</v>
      </c>
      <c r="G484" s="3">
        <v>11.16</v>
      </c>
      <c r="H484" s="3">
        <v>10324.0073210783</v>
      </c>
      <c r="I484" s="12">
        <v>53.7447770762694</v>
      </c>
      <c r="J484" s="3">
        <v>725</v>
      </c>
      <c r="K484" s="3" t="b">
        <f>FALSE()</f>
        <v>0</v>
      </c>
      <c r="L484" s="3" t="b">
        <f>TRUE()</f>
        <v>1</v>
      </c>
      <c r="M484" s="3" t="s">
        <v>1171</v>
      </c>
      <c r="N484" s="3" t="s">
        <v>85</v>
      </c>
      <c r="O484" s="3" t="b">
        <f t="shared" si="33"/>
        <v>0</v>
      </c>
      <c r="P484" s="3" t="s">
        <v>1172</v>
      </c>
    </row>
    <row r="485" customHeight="1" spans="1:16">
      <c r="A485" s="3" t="s">
        <v>1008</v>
      </c>
      <c r="B485" s="3" t="s">
        <v>378</v>
      </c>
      <c r="C485" s="3">
        <v>76724</v>
      </c>
      <c r="D485" s="3">
        <v>23535</v>
      </c>
      <c r="E485" s="3">
        <v>740000</v>
      </c>
      <c r="F485" s="3">
        <v>48</v>
      </c>
      <c r="G485" s="3">
        <v>12</v>
      </c>
      <c r="H485" s="3">
        <v>19487.0382196265</v>
      </c>
      <c r="I485" s="12">
        <v>56.0737685986478</v>
      </c>
      <c r="J485" s="3">
        <v>820</v>
      </c>
      <c r="K485" s="3" t="b">
        <f>FALSE()</f>
        <v>0</v>
      </c>
      <c r="L485" s="3" t="b">
        <f>TRUE()</f>
        <v>1</v>
      </c>
      <c r="M485" s="3" t="s">
        <v>1171</v>
      </c>
      <c r="N485" s="3" t="s">
        <v>85</v>
      </c>
      <c r="O485" s="3" t="b">
        <f t="shared" si="33"/>
        <v>0</v>
      </c>
      <c r="P485" s="3" t="s">
        <v>1172</v>
      </c>
    </row>
    <row r="486" customHeight="1" spans="1:16">
      <c r="A486" s="3" t="s">
        <v>1009</v>
      </c>
      <c r="B486" s="3" t="s">
        <v>1010</v>
      </c>
      <c r="C486" s="3">
        <v>77411</v>
      </c>
      <c r="D486" s="3">
        <v>0</v>
      </c>
      <c r="E486" s="3">
        <v>1230000</v>
      </c>
      <c r="F486" s="3">
        <v>84</v>
      </c>
      <c r="G486" s="3">
        <v>10.12</v>
      </c>
      <c r="H486" s="3">
        <v>20495.8015958196</v>
      </c>
      <c r="I486" s="12">
        <v>26.4766009944576</v>
      </c>
      <c r="J486" s="3">
        <v>783</v>
      </c>
      <c r="K486" s="3" t="b">
        <f>TRUE()</f>
        <v>1</v>
      </c>
      <c r="L486" s="3" t="b">
        <f>TRUE()</f>
        <v>1</v>
      </c>
      <c r="M486" s="3" t="s">
        <v>1174</v>
      </c>
      <c r="N486" s="3" t="s">
        <v>85</v>
      </c>
      <c r="O486" s="3" t="b">
        <f>TRUE()</f>
        <v>1</v>
      </c>
      <c r="P486" s="3" t="s">
        <v>1175</v>
      </c>
    </row>
    <row r="487" customHeight="1" spans="1:16">
      <c r="A487" s="3" t="s">
        <v>1011</v>
      </c>
      <c r="B487" s="3" t="s">
        <v>1012</v>
      </c>
      <c r="C487" s="3">
        <v>29152</v>
      </c>
      <c r="D487" s="3">
        <v>1628</v>
      </c>
      <c r="E487" s="3">
        <v>1090000</v>
      </c>
      <c r="F487" s="3">
        <v>60</v>
      </c>
      <c r="G487" s="3">
        <v>14.3</v>
      </c>
      <c r="H487" s="3">
        <v>25532.2410532146</v>
      </c>
      <c r="I487" s="12">
        <v>93.1676764997756</v>
      </c>
      <c r="J487" s="3">
        <v>807</v>
      </c>
      <c r="K487" s="3" t="b">
        <f>FALSE()</f>
        <v>0</v>
      </c>
      <c r="L487" s="3" t="b">
        <f>TRUE()</f>
        <v>1</v>
      </c>
      <c r="M487" s="3" t="s">
        <v>1171</v>
      </c>
      <c r="N487" s="3" t="s">
        <v>85</v>
      </c>
      <c r="O487" s="3" t="b">
        <f>FALSE()</f>
        <v>0</v>
      </c>
      <c r="P487" s="3" t="s">
        <v>1172</v>
      </c>
    </row>
    <row r="488" customHeight="1" spans="1:16">
      <c r="A488" s="3" t="s">
        <v>1013</v>
      </c>
      <c r="B488" s="3" t="s">
        <v>659</v>
      </c>
      <c r="C488" s="3">
        <v>104467</v>
      </c>
      <c r="D488" s="3">
        <v>46572</v>
      </c>
      <c r="E488" s="3">
        <v>3510000</v>
      </c>
      <c r="F488" s="3">
        <v>240</v>
      </c>
      <c r="G488" s="3">
        <v>9.25</v>
      </c>
      <c r="H488" s="3">
        <v>32146.9258678393</v>
      </c>
      <c r="I488" s="12">
        <v>75.3529113192102</v>
      </c>
      <c r="J488" s="3">
        <v>690</v>
      </c>
      <c r="K488" s="3" t="b">
        <f>FALSE()</f>
        <v>0</v>
      </c>
      <c r="L488" s="3" t="b">
        <f>FALSE()</f>
        <v>0</v>
      </c>
      <c r="M488" s="3" t="s">
        <v>1171</v>
      </c>
      <c r="N488" s="3" t="s">
        <v>85</v>
      </c>
      <c r="O488" s="3" t="b">
        <f>FALSE()</f>
        <v>0</v>
      </c>
      <c r="P488" s="3" t="s">
        <v>1172</v>
      </c>
    </row>
    <row r="489" customHeight="1" spans="1:16">
      <c r="A489" s="3" t="s">
        <v>1014</v>
      </c>
      <c r="B489" s="3" t="s">
        <v>978</v>
      </c>
      <c r="C489" s="3">
        <v>89357</v>
      </c>
      <c r="D489" s="3">
        <v>29458</v>
      </c>
      <c r="E489" s="3">
        <v>1760000</v>
      </c>
      <c r="F489" s="3">
        <v>60</v>
      </c>
      <c r="G489" s="3">
        <v>13.75</v>
      </c>
      <c r="H489" s="3">
        <v>40724.3669370272</v>
      </c>
      <c r="I489" s="12">
        <v>78.5415434012189</v>
      </c>
      <c r="J489" s="3">
        <v>809</v>
      </c>
      <c r="K489" s="3" t="b">
        <f>FALSE()</f>
        <v>0</v>
      </c>
      <c r="L489" s="3" t="b">
        <f t="shared" ref="L489:L495" si="34">TRUE()</f>
        <v>1</v>
      </c>
      <c r="M489" s="3" t="s">
        <v>1171</v>
      </c>
      <c r="N489" s="3" t="s">
        <v>85</v>
      </c>
      <c r="O489" s="3" t="b">
        <f>FALSE()</f>
        <v>0</v>
      </c>
      <c r="P489" s="3" t="s">
        <v>1172</v>
      </c>
    </row>
    <row r="490" customHeight="1" spans="1:16">
      <c r="A490" s="3" t="s">
        <v>1015</v>
      </c>
      <c r="B490" s="3" t="s">
        <v>376</v>
      </c>
      <c r="C490" s="3">
        <v>66502</v>
      </c>
      <c r="D490" s="3">
        <v>0</v>
      </c>
      <c r="E490" s="3">
        <v>2530000</v>
      </c>
      <c r="F490" s="3">
        <v>240</v>
      </c>
      <c r="G490" s="3">
        <v>9.46</v>
      </c>
      <c r="H490" s="3">
        <v>23516.8732749391</v>
      </c>
      <c r="I490" s="12">
        <v>35.3626556719183</v>
      </c>
      <c r="J490" s="3">
        <v>752</v>
      </c>
      <c r="K490" s="3" t="b">
        <f>TRUE()</f>
        <v>1</v>
      </c>
      <c r="L490" s="3" t="b">
        <f t="shared" si="34"/>
        <v>1</v>
      </c>
      <c r="M490" s="3" t="s">
        <v>1174</v>
      </c>
      <c r="N490" s="3" t="s">
        <v>85</v>
      </c>
      <c r="O490" s="3" t="b">
        <f>TRUE()</f>
        <v>1</v>
      </c>
      <c r="P490" s="3" t="s">
        <v>1175</v>
      </c>
    </row>
    <row r="491" customHeight="1" spans="1:16">
      <c r="A491" s="3" t="s">
        <v>1016</v>
      </c>
      <c r="B491" s="3" t="s">
        <v>1017</v>
      </c>
      <c r="C491" s="3">
        <v>90383</v>
      </c>
      <c r="D491" s="3">
        <v>0</v>
      </c>
      <c r="E491" s="3">
        <v>870000</v>
      </c>
      <c r="F491" s="3">
        <v>60</v>
      </c>
      <c r="G491" s="3">
        <v>13.79</v>
      </c>
      <c r="H491" s="3">
        <v>20148.7845488076</v>
      </c>
      <c r="I491" s="12">
        <v>22.2926706889653</v>
      </c>
      <c r="J491" s="3">
        <v>809</v>
      </c>
      <c r="K491" s="3" t="b">
        <f>TRUE()</f>
        <v>1</v>
      </c>
      <c r="L491" s="3" t="b">
        <f t="shared" si="34"/>
        <v>1</v>
      </c>
      <c r="M491" s="3" t="s">
        <v>1174</v>
      </c>
      <c r="N491" s="3" t="s">
        <v>91</v>
      </c>
      <c r="O491" s="3" t="b">
        <f>FALSE()</f>
        <v>0</v>
      </c>
      <c r="P491" s="3" t="s">
        <v>1176</v>
      </c>
    </row>
    <row r="492" customHeight="1" spans="1:16">
      <c r="A492" s="3" t="s">
        <v>1018</v>
      </c>
      <c r="B492" s="3" t="s">
        <v>355</v>
      </c>
      <c r="C492" s="3">
        <v>29167</v>
      </c>
      <c r="D492" s="3">
        <v>0</v>
      </c>
      <c r="E492" s="3">
        <v>4920000</v>
      </c>
      <c r="F492" s="3">
        <v>240</v>
      </c>
      <c r="G492" s="3">
        <v>8.65</v>
      </c>
      <c r="H492" s="3">
        <v>43165.1411273926</v>
      </c>
      <c r="I492" s="12">
        <v>147.993078230166</v>
      </c>
      <c r="J492" s="3">
        <v>757</v>
      </c>
      <c r="K492" s="3" t="b">
        <f>FALSE()</f>
        <v>0</v>
      </c>
      <c r="L492" s="3" t="b">
        <f t="shared" si="34"/>
        <v>1</v>
      </c>
      <c r="M492" s="3" t="s">
        <v>1171</v>
      </c>
      <c r="N492" s="3" t="s">
        <v>91</v>
      </c>
      <c r="O492" s="3" t="b">
        <f>TRUE()</f>
        <v>1</v>
      </c>
      <c r="P492" s="3" t="s">
        <v>1173</v>
      </c>
    </row>
    <row r="493" customHeight="1" spans="1:16">
      <c r="A493" s="3" t="s">
        <v>1019</v>
      </c>
      <c r="B493" s="3" t="s">
        <v>798</v>
      </c>
      <c r="C493" s="3">
        <v>46129</v>
      </c>
      <c r="D493" s="3">
        <v>14296</v>
      </c>
      <c r="E493" s="3">
        <v>1010000</v>
      </c>
      <c r="F493" s="3">
        <v>60</v>
      </c>
      <c r="G493" s="3">
        <v>14.53</v>
      </c>
      <c r="H493" s="3">
        <v>23779.3737829904</v>
      </c>
      <c r="I493" s="12">
        <v>82.5410778100336</v>
      </c>
      <c r="J493" s="3">
        <v>775</v>
      </c>
      <c r="K493" s="3" t="b">
        <f>FALSE()</f>
        <v>0</v>
      </c>
      <c r="L493" s="3" t="b">
        <f t="shared" si="34"/>
        <v>1</v>
      </c>
      <c r="M493" s="3" t="s">
        <v>1171</v>
      </c>
      <c r="N493" s="3" t="s">
        <v>85</v>
      </c>
      <c r="O493" s="3" t="b">
        <f>FALSE()</f>
        <v>0</v>
      </c>
      <c r="P493" s="3" t="s">
        <v>1172</v>
      </c>
    </row>
    <row r="494" customHeight="1" spans="1:16">
      <c r="A494" s="3" t="s">
        <v>1020</v>
      </c>
      <c r="B494" s="3" t="s">
        <v>568</v>
      </c>
      <c r="C494" s="3">
        <v>83079</v>
      </c>
      <c r="D494" s="3">
        <v>7618</v>
      </c>
      <c r="E494" s="3">
        <v>1440000</v>
      </c>
      <c r="F494" s="3">
        <v>84</v>
      </c>
      <c r="G494" s="3">
        <v>10.72</v>
      </c>
      <c r="H494" s="3">
        <v>24444.8201950263</v>
      </c>
      <c r="I494" s="12">
        <v>38.5931705906743</v>
      </c>
      <c r="J494" s="3">
        <v>759</v>
      </c>
      <c r="K494" s="3" t="b">
        <f t="shared" ref="K494:K501" si="35">TRUE()</f>
        <v>1</v>
      </c>
      <c r="L494" s="3" t="b">
        <f t="shared" si="34"/>
        <v>1</v>
      </c>
      <c r="M494" s="3" t="s">
        <v>1174</v>
      </c>
      <c r="N494" s="3" t="s">
        <v>85</v>
      </c>
      <c r="O494" s="3" t="b">
        <f>TRUE()</f>
        <v>1</v>
      </c>
      <c r="P494" s="3" t="s">
        <v>1175</v>
      </c>
    </row>
    <row r="495" customHeight="1" spans="1:16">
      <c r="A495" s="3" t="s">
        <v>1021</v>
      </c>
      <c r="B495" s="3" t="s">
        <v>1022</v>
      </c>
      <c r="C495" s="3">
        <v>225812</v>
      </c>
      <c r="D495" s="3">
        <v>0</v>
      </c>
      <c r="E495" s="3">
        <v>640000</v>
      </c>
      <c r="F495" s="3">
        <v>84</v>
      </c>
      <c r="G495" s="3">
        <v>11.05</v>
      </c>
      <c r="H495" s="3">
        <v>10975.1918997858</v>
      </c>
      <c r="I495" s="12">
        <v>4.8603227019759</v>
      </c>
      <c r="J495" s="3">
        <v>738</v>
      </c>
      <c r="K495" s="3" t="b">
        <f t="shared" si="35"/>
        <v>1</v>
      </c>
      <c r="L495" s="3" t="b">
        <f t="shared" si="34"/>
        <v>1</v>
      </c>
      <c r="M495" s="3" t="s">
        <v>1174</v>
      </c>
      <c r="N495" s="3" t="s">
        <v>91</v>
      </c>
      <c r="O495" s="3" t="b">
        <f>FALSE()</f>
        <v>0</v>
      </c>
      <c r="P495" s="3" t="s">
        <v>1176</v>
      </c>
    </row>
    <row r="496" customHeight="1" spans="1:16">
      <c r="A496" s="3" t="s">
        <v>1023</v>
      </c>
      <c r="B496" s="3" t="s">
        <v>1024</v>
      </c>
      <c r="C496" s="3">
        <v>75018</v>
      </c>
      <c r="D496" s="3">
        <v>0</v>
      </c>
      <c r="E496" s="3">
        <v>390000</v>
      </c>
      <c r="F496" s="3">
        <v>48</v>
      </c>
      <c r="G496" s="3">
        <v>11.41</v>
      </c>
      <c r="H496" s="3">
        <v>10157.5821241164</v>
      </c>
      <c r="I496" s="12">
        <v>13.5401931857907</v>
      </c>
      <c r="J496" s="3">
        <v>634</v>
      </c>
      <c r="K496" s="3" t="b">
        <f t="shared" si="35"/>
        <v>1</v>
      </c>
      <c r="L496" s="3" t="b">
        <f>FALSE()</f>
        <v>0</v>
      </c>
      <c r="M496" s="3" t="s">
        <v>1171</v>
      </c>
      <c r="N496" s="3" t="s">
        <v>85</v>
      </c>
      <c r="O496" s="3" t="b">
        <f>FALSE()</f>
        <v>0</v>
      </c>
      <c r="P496" s="3" t="s">
        <v>1172</v>
      </c>
    </row>
    <row r="497" customHeight="1" spans="1:16">
      <c r="A497" s="3" t="s">
        <v>1025</v>
      </c>
      <c r="B497" s="3" t="s">
        <v>1026</v>
      </c>
      <c r="C497" s="3">
        <v>69079</v>
      </c>
      <c r="D497" s="3">
        <v>0</v>
      </c>
      <c r="E497" s="3">
        <v>350000</v>
      </c>
      <c r="F497" s="3">
        <v>48</v>
      </c>
      <c r="G497" s="3">
        <v>12.16</v>
      </c>
      <c r="H497" s="3">
        <v>9244.36185441005</v>
      </c>
      <c r="I497" s="12">
        <v>13.3823041074857</v>
      </c>
      <c r="J497" s="3">
        <v>873</v>
      </c>
      <c r="K497" s="3" t="b">
        <f t="shared" si="35"/>
        <v>1</v>
      </c>
      <c r="L497" s="3" t="b">
        <f>TRUE()</f>
        <v>1</v>
      </c>
      <c r="M497" s="3" t="s">
        <v>1174</v>
      </c>
      <c r="N497" s="3" t="s">
        <v>85</v>
      </c>
      <c r="O497" s="3" t="b">
        <f>TRUE()</f>
        <v>1</v>
      </c>
      <c r="P497" s="3" t="s">
        <v>1175</v>
      </c>
    </row>
    <row r="498" customHeight="1" spans="1:16">
      <c r="A498" s="3" t="s">
        <v>1027</v>
      </c>
      <c r="B498" s="3" t="s">
        <v>1028</v>
      </c>
      <c r="C498" s="3">
        <v>30418</v>
      </c>
      <c r="D498" s="3">
        <v>2795</v>
      </c>
      <c r="E498" s="3">
        <v>320000</v>
      </c>
      <c r="F498" s="3">
        <v>60</v>
      </c>
      <c r="G498" s="3">
        <v>9.49</v>
      </c>
      <c r="H498" s="3">
        <v>6719.03191481818</v>
      </c>
      <c r="I498" s="12">
        <v>31.2776379604779</v>
      </c>
      <c r="J498" s="3">
        <v>651</v>
      </c>
      <c r="K498" s="3" t="b">
        <f t="shared" si="35"/>
        <v>1</v>
      </c>
      <c r="L498" s="3" t="b">
        <f>FALSE()</f>
        <v>0</v>
      </c>
      <c r="M498" s="3" t="s">
        <v>1171</v>
      </c>
      <c r="N498" s="3" t="s">
        <v>85</v>
      </c>
      <c r="O498" s="3" t="b">
        <f>FALSE()</f>
        <v>0</v>
      </c>
      <c r="P498" s="3" t="s">
        <v>1172</v>
      </c>
    </row>
    <row r="499" customHeight="1" spans="1:16">
      <c r="A499" s="3" t="s">
        <v>1029</v>
      </c>
      <c r="B499" s="3" t="s">
        <v>1030</v>
      </c>
      <c r="C499" s="3">
        <v>62905</v>
      </c>
      <c r="D499" s="3">
        <v>0</v>
      </c>
      <c r="E499" s="3">
        <v>1320000</v>
      </c>
      <c r="F499" s="3">
        <v>84</v>
      </c>
      <c r="G499" s="3">
        <v>10.13</v>
      </c>
      <c r="H499" s="3">
        <v>22002.32986009</v>
      </c>
      <c r="I499" s="12">
        <v>34.9770763215802</v>
      </c>
      <c r="J499" s="3">
        <v>787</v>
      </c>
      <c r="K499" s="3" t="b">
        <f t="shared" si="35"/>
        <v>1</v>
      </c>
      <c r="L499" s="3" t="b">
        <f>TRUE()</f>
        <v>1</v>
      </c>
      <c r="M499" s="3" t="s">
        <v>1174</v>
      </c>
      <c r="N499" s="3" t="s">
        <v>85</v>
      </c>
      <c r="O499" s="3" t="b">
        <f>TRUE()</f>
        <v>1</v>
      </c>
      <c r="P499" s="3" t="s">
        <v>1175</v>
      </c>
    </row>
    <row r="500" customHeight="1" spans="1:16">
      <c r="A500" s="3" t="s">
        <v>1031</v>
      </c>
      <c r="B500" s="3" t="s">
        <v>765</v>
      </c>
      <c r="C500" s="3">
        <v>38252</v>
      </c>
      <c r="D500" s="3">
        <v>0</v>
      </c>
      <c r="E500" s="3">
        <v>310000</v>
      </c>
      <c r="F500" s="3">
        <v>36</v>
      </c>
      <c r="G500" s="3">
        <v>13.36</v>
      </c>
      <c r="H500" s="3">
        <v>10498.9596720687</v>
      </c>
      <c r="I500" s="12">
        <v>27.4468254524436</v>
      </c>
      <c r="J500" s="3">
        <v>614</v>
      </c>
      <c r="K500" s="3" t="b">
        <f t="shared" si="35"/>
        <v>1</v>
      </c>
      <c r="L500" s="3" t="b">
        <f>FALSE()</f>
        <v>0</v>
      </c>
      <c r="M500" s="3" t="s">
        <v>1171</v>
      </c>
      <c r="N500" s="3" t="s">
        <v>85</v>
      </c>
      <c r="O500" s="3" t="b">
        <f>FALSE()</f>
        <v>0</v>
      </c>
      <c r="P500" s="3" t="s">
        <v>1172</v>
      </c>
    </row>
    <row r="501" customHeight="1" spans="1:16">
      <c r="A501" s="3" t="s">
        <v>1032</v>
      </c>
      <c r="B501" s="3" t="s">
        <v>1033</v>
      </c>
      <c r="C501" s="3">
        <v>111341</v>
      </c>
      <c r="D501" s="3">
        <v>5446</v>
      </c>
      <c r="E501" s="3">
        <v>730000</v>
      </c>
      <c r="F501" s="3">
        <v>48</v>
      </c>
      <c r="G501" s="3">
        <v>11.02</v>
      </c>
      <c r="H501" s="3">
        <v>18874.3224919113</v>
      </c>
      <c r="I501" s="12">
        <v>21.8430968752852</v>
      </c>
      <c r="J501" s="3">
        <v>734</v>
      </c>
      <c r="K501" s="3" t="b">
        <f t="shared" si="35"/>
        <v>1</v>
      </c>
      <c r="L501" s="3" t="b">
        <f>TRUE()</f>
        <v>1</v>
      </c>
      <c r="M501" s="3" t="s">
        <v>1174</v>
      </c>
      <c r="N501" s="3" t="s">
        <v>85</v>
      </c>
      <c r="O501" s="3" t="b">
        <f>TRUE()</f>
        <v>1</v>
      </c>
      <c r="P501" s="3" t="s">
        <v>1175</v>
      </c>
    </row>
  </sheetData>
  <autoFilter xmlns:etc="http://www.wps.cn/officeDocument/2017/etCustomData" ref="A1:P501" etc:filterBottomFollowUsedRange="0">
    <extLst/>
  </autoFilter>
  <conditionalFormatting sqref="M2:M501">
    <cfRule type="expression" dxfId="0" priority="2">
      <formula>M2="Eligible"</formula>
    </cfRule>
    <cfRule type="expression" dxfId="1" priority="3">
      <formula>M2="Not Eligible"</formula>
    </cfRule>
  </conditionalFormatting>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workbookViewId="0">
      <pane ySplit="2" topLeftCell="A3" activePane="bottomLeft" state="frozen"/>
      <selection/>
      <selection pane="bottomLeft" activeCell="A1" sqref="A1:M1"/>
    </sheetView>
  </sheetViews>
  <sheetFormatPr defaultColWidth="8.67592592592593" defaultRowHeight="15" customHeight="1"/>
  <cols>
    <col min="1" max="1" width="18" customWidth="1"/>
    <col min="2" max="3" width="16" customWidth="1"/>
    <col min="4" max="4" width="15" customWidth="1"/>
    <col min="5" max="5" width="18" customWidth="1"/>
    <col min="6" max="7" width="16" customWidth="1"/>
    <col min="8" max="8" width="20" customWidth="1"/>
    <col min="9" max="9" width="18" customWidth="1"/>
    <col min="10" max="10" width="16" customWidth="1"/>
    <col min="11" max="11" width="22" customWidth="1"/>
    <col min="12" max="12" width="20" customWidth="1"/>
    <col min="13" max="13" width="12" customWidth="1"/>
  </cols>
  <sheetData>
    <row r="1" ht="31.5" customHeight="1" spans="1:13">
      <c r="A1" s="1" t="s">
        <v>1177</v>
      </c>
      <c r="B1" s="13"/>
      <c r="C1" s="13"/>
      <c r="D1" s="13"/>
      <c r="E1" s="13"/>
      <c r="F1" s="13"/>
      <c r="G1" s="13"/>
      <c r="H1" s="13"/>
      <c r="I1" s="13"/>
      <c r="J1" s="13"/>
      <c r="K1" s="13"/>
      <c r="L1" s="13"/>
      <c r="M1" s="13"/>
    </row>
    <row r="2" customHeight="1" spans="1:13">
      <c r="A2" s="3" t="s">
        <v>1178</v>
      </c>
      <c r="B2" s="3" t="s">
        <v>1179</v>
      </c>
      <c r="C2" s="3" t="s">
        <v>1180</v>
      </c>
      <c r="D2" s="3"/>
      <c r="E2" s="3"/>
      <c r="F2" s="3"/>
      <c r="G2" s="3"/>
      <c r="H2" s="3"/>
      <c r="I2" s="3"/>
      <c r="J2" s="3"/>
      <c r="K2" s="3"/>
      <c r="L2" s="3"/>
      <c r="M2" s="3"/>
    </row>
    <row r="3" customHeight="1" spans="1:13">
      <c r="A3" s="3" t="s">
        <v>1181</v>
      </c>
      <c r="B3" s="3">
        <v>500</v>
      </c>
      <c r="C3" s="3" t="s">
        <v>1182</v>
      </c>
      <c r="D3" s="3"/>
      <c r="E3" s="3"/>
      <c r="F3" s="3"/>
      <c r="G3" s="3"/>
      <c r="H3" s="3"/>
      <c r="I3" s="3"/>
      <c r="J3" s="3"/>
      <c r="K3" s="3"/>
      <c r="L3" s="3"/>
      <c r="M3" s="3"/>
    </row>
    <row r="4" customHeight="1" spans="1:13">
      <c r="A4" s="3" t="s">
        <v>1183</v>
      </c>
      <c r="B4" s="3">
        <v>0</v>
      </c>
      <c r="C4" s="3" t="s">
        <v>1182</v>
      </c>
      <c r="D4" s="3"/>
      <c r="E4" s="3"/>
      <c r="F4" s="3"/>
      <c r="G4" s="3"/>
      <c r="H4" s="3"/>
      <c r="I4" s="3"/>
      <c r="J4" s="3"/>
      <c r="K4" s="3"/>
      <c r="L4" s="3"/>
      <c r="M4" s="3"/>
    </row>
    <row r="5" customHeight="1" spans="1:13">
      <c r="A5" s="3" t="s">
        <v>1184</v>
      </c>
      <c r="B5" s="3">
        <v>43</v>
      </c>
      <c r="C5" s="3" t="s">
        <v>1182</v>
      </c>
      <c r="D5" s="3"/>
      <c r="E5" s="3"/>
      <c r="F5" s="3"/>
      <c r="G5" s="3"/>
      <c r="H5" s="3"/>
      <c r="I5" s="3"/>
      <c r="J5" s="3"/>
      <c r="K5" s="3"/>
      <c r="L5" s="3"/>
      <c r="M5" s="3"/>
    </row>
    <row r="6" customHeight="1" spans="1:13">
      <c r="A6" s="3" t="s">
        <v>1185</v>
      </c>
      <c r="B6" s="3">
        <v>457</v>
      </c>
      <c r="C6" s="3" t="s">
        <v>1182</v>
      </c>
      <c r="D6" s="3"/>
      <c r="E6" s="3"/>
      <c r="F6" s="3"/>
      <c r="G6" s="3"/>
      <c r="H6" s="3"/>
      <c r="I6" s="3"/>
      <c r="J6" s="3"/>
      <c r="K6" s="3"/>
      <c r="L6" s="3"/>
      <c r="M6" s="3"/>
    </row>
    <row r="7" customHeight="1" spans="1:13">
      <c r="A7" s="3" t="s">
        <v>1186</v>
      </c>
      <c r="B7" s="3">
        <v>203</v>
      </c>
      <c r="C7" s="3" t="s">
        <v>1182</v>
      </c>
      <c r="D7" s="3"/>
      <c r="E7" s="3"/>
      <c r="F7" s="3"/>
      <c r="G7" s="3"/>
      <c r="H7" s="3"/>
      <c r="I7" s="3"/>
      <c r="J7" s="3"/>
      <c r="K7" s="3"/>
      <c r="L7" s="3"/>
      <c r="M7" s="3"/>
    </row>
    <row r="8" customHeight="1" spans="1:13">
      <c r="A8" s="3" t="s">
        <v>1187</v>
      </c>
      <c r="B8" s="3">
        <v>297</v>
      </c>
      <c r="C8" s="3" t="s">
        <v>1182</v>
      </c>
      <c r="D8" s="3"/>
      <c r="E8" s="3"/>
      <c r="F8" s="3"/>
      <c r="G8" s="3"/>
      <c r="H8" s="3"/>
      <c r="I8" s="3"/>
      <c r="J8" s="3"/>
      <c r="K8" s="3"/>
      <c r="L8" s="3"/>
      <c r="M8" s="3"/>
    </row>
    <row r="9" customHeight="1" spans="1:13">
      <c r="A9" s="3" t="s">
        <v>1188</v>
      </c>
      <c r="B9" s="3">
        <v>228</v>
      </c>
      <c r="C9" s="3" t="s">
        <v>1182</v>
      </c>
      <c r="D9" s="3"/>
      <c r="E9" s="3"/>
      <c r="F9" s="3"/>
      <c r="G9" s="3"/>
      <c r="H9" s="3"/>
      <c r="I9" s="3"/>
      <c r="J9" s="3"/>
      <c r="K9" s="3"/>
      <c r="L9" s="3"/>
      <c r="M9" s="3"/>
    </row>
    <row r="10" customHeight="1" spans="1:13">
      <c r="A10" s="3" t="s">
        <v>1189</v>
      </c>
      <c r="B10" s="3">
        <v>272</v>
      </c>
      <c r="C10" s="3" t="s">
        <v>1182</v>
      </c>
      <c r="D10" s="3"/>
      <c r="E10" s="3"/>
      <c r="F10" s="3"/>
      <c r="G10" s="3"/>
      <c r="H10" s="3"/>
      <c r="I10" s="3"/>
      <c r="J10" s="3"/>
      <c r="K10" s="3"/>
      <c r="L10" s="3"/>
      <c r="M10" s="3"/>
    </row>
    <row r="11" customHeight="1" spans="1:13">
      <c r="A11" s="3" t="s">
        <v>1190</v>
      </c>
      <c r="B11" s="3">
        <v>0.456</v>
      </c>
      <c r="C11" s="3" t="s">
        <v>1182</v>
      </c>
      <c r="D11" s="3"/>
      <c r="E11" s="3"/>
      <c r="F11" s="3"/>
      <c r="G11" s="3"/>
      <c r="H11" s="3"/>
      <c r="I11" s="3"/>
      <c r="J11" s="3"/>
      <c r="K11" s="3"/>
      <c r="L11" s="3"/>
      <c r="M11" s="3"/>
    </row>
    <row r="12" customHeight="1" spans="1:13">
      <c r="A12" s="3" t="s">
        <v>1191</v>
      </c>
      <c r="B12" s="3">
        <v>263</v>
      </c>
      <c r="C12" s="3" t="s">
        <v>1182</v>
      </c>
      <c r="D12" s="3"/>
      <c r="E12" s="3"/>
      <c r="F12" s="3"/>
      <c r="G12" s="3"/>
      <c r="H12" s="3"/>
      <c r="I12" s="3"/>
      <c r="J12" s="3"/>
      <c r="K12" s="3"/>
      <c r="L12" s="3"/>
      <c r="M12" s="3"/>
    </row>
    <row r="13" customHeight="1" spans="1:13">
      <c r="A13" s="3" t="s">
        <v>1192</v>
      </c>
      <c r="B13" s="3">
        <v>9</v>
      </c>
      <c r="C13" s="3" t="s">
        <v>1182</v>
      </c>
      <c r="D13" s="3"/>
      <c r="E13" s="3"/>
      <c r="F13" s="3"/>
      <c r="G13" s="3"/>
      <c r="H13" s="3"/>
      <c r="I13" s="3"/>
      <c r="J13" s="3"/>
      <c r="K13" s="3"/>
      <c r="L13" s="3"/>
      <c r="M13" s="3"/>
    </row>
    <row r="14" customHeight="1" spans="1:13">
      <c r="A14" s="3" t="s">
        <v>1193</v>
      </c>
      <c r="B14" s="3">
        <v>0.114478114478115</v>
      </c>
      <c r="C14" s="3" t="s">
        <v>1182</v>
      </c>
      <c r="D14" s="3"/>
      <c r="E14" s="3"/>
      <c r="F14" s="3"/>
      <c r="G14" s="3"/>
      <c r="H14" s="3"/>
      <c r="I14" s="3"/>
      <c r="J14" s="3"/>
      <c r="K14" s="3"/>
      <c r="L14" s="3"/>
      <c r="M14" s="3"/>
    </row>
    <row r="15" customHeight="1" spans="1:13">
      <c r="A15" s="3" t="s">
        <v>1194</v>
      </c>
      <c r="B15" s="3">
        <v>0.790697674418605</v>
      </c>
      <c r="C15" s="3" t="s">
        <v>1182</v>
      </c>
      <c r="D15" s="3"/>
      <c r="E15" s="3"/>
      <c r="F15" s="3"/>
      <c r="G15" s="3"/>
      <c r="H15" s="3"/>
      <c r="I15" s="3"/>
      <c r="J15" s="3"/>
      <c r="K15" s="3"/>
      <c r="L15" s="3"/>
      <c r="M15" s="3"/>
    </row>
    <row r="16" customHeight="1" spans="1:13">
      <c r="A16" s="3" t="s">
        <v>1195</v>
      </c>
      <c r="B16" s="3">
        <v>0.424507658643326</v>
      </c>
      <c r="C16" s="3" t="s">
        <v>1182</v>
      </c>
      <c r="D16" s="3"/>
      <c r="E16" s="3"/>
      <c r="F16" s="3"/>
      <c r="G16" s="3"/>
      <c r="H16" s="3"/>
      <c r="I16" s="3"/>
      <c r="J16" s="3"/>
      <c r="K16" s="3"/>
      <c r="L16" s="3"/>
      <c r="M16" s="3"/>
    </row>
    <row r="17" customHeight="1" spans="1:13">
      <c r="A17" s="14" t="s">
        <v>1196</v>
      </c>
    </row>
    <row r="18" customHeight="1" spans="1:13">
      <c r="A18" s="15" t="s">
        <v>79</v>
      </c>
      <c r="B18" s="15">
        <v>1250000</v>
      </c>
      <c r="C18" s="15">
        <v>11.06</v>
      </c>
      <c r="D18" s="15">
        <v>84</v>
      </c>
      <c r="E18" s="15">
        <v>21442.5002966384</v>
      </c>
      <c r="F18" s="15">
        <v>21442.5002966384</v>
      </c>
      <c r="G18" s="15">
        <v>0</v>
      </c>
      <c r="H18" s="15">
        <v>73.4662253353668</v>
      </c>
      <c r="I18" s="15">
        <v>73.4662253353668</v>
      </c>
      <c r="J18" s="15">
        <v>0</v>
      </c>
      <c r="K18" s="15" t="s">
        <v>1171</v>
      </c>
      <c r="L18" s="15" t="s">
        <v>1171</v>
      </c>
      <c r="M18" s="15" t="s">
        <v>1182</v>
      </c>
    </row>
    <row r="19" customHeight="1" spans="1:13">
      <c r="A19" s="3" t="s">
        <v>208</v>
      </c>
      <c r="B19" s="3">
        <v>550000</v>
      </c>
      <c r="C19" s="3">
        <v>12.19</v>
      </c>
      <c r="D19" s="3">
        <v>48</v>
      </c>
      <c r="E19" s="3">
        <v>14534.9711306847</v>
      </c>
      <c r="F19" s="3">
        <v>14534.9711306847</v>
      </c>
      <c r="G19" s="3">
        <v>0</v>
      </c>
      <c r="H19" s="3">
        <v>10.6895223577189</v>
      </c>
      <c r="I19" s="3">
        <v>10.6895223577189</v>
      </c>
      <c r="J19" s="3">
        <v>0</v>
      </c>
      <c r="K19" s="3" t="s">
        <v>1174</v>
      </c>
      <c r="L19" s="3" t="s">
        <v>1174</v>
      </c>
      <c r="M19" s="11" t="s">
        <v>1182</v>
      </c>
    </row>
    <row r="20" customHeight="1" spans="1:13">
      <c r="A20" s="3" t="s">
        <v>307</v>
      </c>
      <c r="B20" s="3">
        <v>1070000</v>
      </c>
      <c r="C20" s="3">
        <v>14.01</v>
      </c>
      <c r="D20" s="3">
        <v>60</v>
      </c>
      <c r="E20" s="10">
        <v>24902.5760351965</v>
      </c>
      <c r="F20" s="10">
        <v>24902.5760351965</v>
      </c>
      <c r="G20" s="10">
        <v>0</v>
      </c>
      <c r="H20" s="10">
        <v>73.5054497804427</v>
      </c>
      <c r="I20" s="10">
        <v>73.5054497804427</v>
      </c>
      <c r="J20" s="10">
        <v>0</v>
      </c>
      <c r="K20" s="3" t="s">
        <v>1171</v>
      </c>
      <c r="L20" s="3" t="s">
        <v>1171</v>
      </c>
      <c r="M20" s="11" t="s">
        <v>1182</v>
      </c>
    </row>
    <row r="21" customHeight="1" spans="1:13">
      <c r="A21" s="3" t="s">
        <v>400</v>
      </c>
      <c r="B21" s="3">
        <v>640000</v>
      </c>
      <c r="C21" s="3">
        <v>9.65</v>
      </c>
      <c r="D21" s="3">
        <v>60</v>
      </c>
      <c r="E21" s="10">
        <v>13488.1538803721</v>
      </c>
      <c r="F21" s="10">
        <v>13488.1538803721</v>
      </c>
      <c r="G21" s="10">
        <v>0</v>
      </c>
      <c r="H21" s="10">
        <v>23.1470425452514</v>
      </c>
      <c r="I21" s="10">
        <v>23.1470425452514</v>
      </c>
      <c r="J21" s="10">
        <v>0</v>
      </c>
      <c r="K21" s="3" t="s">
        <v>1171</v>
      </c>
      <c r="L21" s="3" t="s">
        <v>1171</v>
      </c>
      <c r="M21" s="11" t="s">
        <v>1182</v>
      </c>
    </row>
    <row r="22" customHeight="1" spans="1:13">
      <c r="A22" s="3" t="s">
        <v>497</v>
      </c>
      <c r="B22" s="3">
        <v>1090000</v>
      </c>
      <c r="C22" s="3">
        <v>9.13</v>
      </c>
      <c r="D22" s="3">
        <v>240</v>
      </c>
      <c r="E22" s="10">
        <v>9898.32999868859</v>
      </c>
      <c r="F22" s="10">
        <v>9898.32999868859</v>
      </c>
      <c r="G22" s="10">
        <v>0</v>
      </c>
      <c r="H22" s="10">
        <v>15.1481099584367</v>
      </c>
      <c r="I22" s="10">
        <v>15.1481099584367</v>
      </c>
      <c r="J22" s="10">
        <v>0</v>
      </c>
      <c r="K22" s="3" t="s">
        <v>1174</v>
      </c>
      <c r="L22" s="3" t="s">
        <v>1174</v>
      </c>
      <c r="M22" s="11" t="s">
        <v>1182</v>
      </c>
    </row>
    <row r="23" customHeight="1" spans="1:13">
      <c r="A23" s="3" t="s">
        <v>588</v>
      </c>
      <c r="B23" s="3">
        <v>2290000</v>
      </c>
      <c r="C23" s="3">
        <v>9.62</v>
      </c>
      <c r="D23" s="3">
        <v>240</v>
      </c>
      <c r="E23" s="10">
        <v>21525.5717803338</v>
      </c>
      <c r="F23" s="10">
        <v>21525.5717803338</v>
      </c>
      <c r="G23" s="10">
        <v>0</v>
      </c>
      <c r="H23" s="10">
        <v>54.5265668976823</v>
      </c>
      <c r="I23" s="10">
        <v>54.5265668976823</v>
      </c>
      <c r="J23" s="10">
        <v>0</v>
      </c>
      <c r="K23" s="3" t="s">
        <v>1171</v>
      </c>
      <c r="L23" s="3" t="s">
        <v>1171</v>
      </c>
      <c r="M23" s="11" t="s">
        <v>1182</v>
      </c>
    </row>
    <row r="24" customHeight="1" spans="1:13">
      <c r="A24" s="3" t="s">
        <v>681</v>
      </c>
      <c r="B24" s="3">
        <v>1300000</v>
      </c>
      <c r="C24" s="3">
        <v>10.64</v>
      </c>
      <c r="D24" s="3">
        <v>84</v>
      </c>
      <c r="E24" s="10">
        <v>22013.859642707</v>
      </c>
      <c r="F24" s="10">
        <v>22013.859642707</v>
      </c>
      <c r="G24" s="10">
        <v>0</v>
      </c>
      <c r="H24" s="10">
        <v>22.2499314150204</v>
      </c>
      <c r="I24" s="10">
        <v>22.2499314150204</v>
      </c>
      <c r="J24" s="10">
        <v>0</v>
      </c>
      <c r="K24" s="3" t="s">
        <v>1174</v>
      </c>
      <c r="L24" s="3" t="s">
        <v>1174</v>
      </c>
      <c r="M24" s="11" t="s">
        <v>1182</v>
      </c>
    </row>
    <row r="25" customHeight="1" spans="1:13">
      <c r="A25" s="3" t="s">
        <v>772</v>
      </c>
      <c r="B25" s="3">
        <v>3520000</v>
      </c>
      <c r="C25" s="3">
        <v>9.38</v>
      </c>
      <c r="D25" s="3">
        <v>240</v>
      </c>
      <c r="E25" s="10">
        <v>32535.6776763335</v>
      </c>
      <c r="F25" s="10">
        <v>32535.6776763335</v>
      </c>
      <c r="G25" s="10">
        <v>0</v>
      </c>
      <c r="H25" s="10">
        <v>53.4484544483327</v>
      </c>
      <c r="I25" s="10">
        <v>53.4484544483327</v>
      </c>
      <c r="J25" s="10">
        <v>0</v>
      </c>
      <c r="K25" s="3" t="s">
        <v>1171</v>
      </c>
      <c r="L25" s="3" t="s">
        <v>1171</v>
      </c>
      <c r="M25" s="11" t="s">
        <v>1182</v>
      </c>
    </row>
    <row r="26" customHeight="1" spans="1:13">
      <c r="A26" s="3" t="s">
        <v>859</v>
      </c>
      <c r="B26" s="3">
        <v>650000</v>
      </c>
      <c r="C26" s="3">
        <v>9.49</v>
      </c>
      <c r="D26" s="3">
        <v>60</v>
      </c>
      <c r="E26" s="10">
        <v>13648.0335769744</v>
      </c>
      <c r="F26" s="10">
        <v>13648.0335769744</v>
      </c>
      <c r="G26" s="10">
        <v>0</v>
      </c>
      <c r="H26" s="10">
        <v>75.9529056832225</v>
      </c>
      <c r="I26" s="10">
        <v>75.9529056832225</v>
      </c>
      <c r="J26" s="10">
        <v>0</v>
      </c>
      <c r="K26" s="3" t="s">
        <v>1171</v>
      </c>
      <c r="L26" s="3" t="s">
        <v>1171</v>
      </c>
      <c r="M26" s="11" t="s">
        <v>1182</v>
      </c>
    </row>
    <row r="27" customHeight="1" spans="1:13">
      <c r="A27" s="3" t="s">
        <v>946</v>
      </c>
      <c r="B27" s="3">
        <v>310000</v>
      </c>
      <c r="C27" s="3">
        <v>11.47</v>
      </c>
      <c r="D27" s="3">
        <v>48</v>
      </c>
      <c r="E27" s="10">
        <v>8083.05218939803</v>
      </c>
      <c r="F27" s="10">
        <v>8083.05218939803</v>
      </c>
      <c r="G27" s="10">
        <v>0</v>
      </c>
      <c r="H27" s="10">
        <v>23.1318896616463</v>
      </c>
      <c r="I27" s="10">
        <v>23.1318896616463</v>
      </c>
      <c r="J27" s="10">
        <v>0</v>
      </c>
      <c r="K27" s="3" t="s">
        <v>1171</v>
      </c>
      <c r="L27" s="3" t="s">
        <v>1171</v>
      </c>
      <c r="M27" s="11" t="s">
        <v>1182</v>
      </c>
    </row>
  </sheetData>
  <autoFilter xmlns:etc="http://www.wps.cn/officeDocument/2017/etCustomData" ref="A1:M27" etc:filterBottomFollowUsedRange="0">
    <extLst/>
  </autoFilter>
  <mergeCells count="2">
    <mergeCell ref="A1:M1"/>
    <mergeCell ref="A17:M17"/>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pane ySplit="1" topLeftCell="A2" activePane="bottomLeft" state="frozen"/>
      <selection/>
      <selection pane="bottomLeft" activeCell="A1" sqref="A1"/>
    </sheetView>
  </sheetViews>
  <sheetFormatPr defaultColWidth="8.67592592592593" defaultRowHeight="15" customHeight="1"/>
  <cols>
    <col min="1" max="1" width="18" customWidth="1"/>
    <col min="2" max="4" width="20" customWidth="1"/>
    <col min="5" max="5" width="24" customWidth="1"/>
    <col min="6" max="6" width="18" customWidth="1"/>
    <col min="7" max="7" width="22" customWidth="1"/>
    <col min="8" max="9" width="18" customWidth="1"/>
    <col min="10" max="13" width="14" customWidth="1"/>
    <col min="14" max="14" width="24" customWidth="1"/>
  </cols>
  <sheetData>
    <row r="1" ht="31.5" customHeight="1" spans="1:14">
      <c r="A1" s="1" t="s">
        <v>1197</v>
      </c>
      <c r="B1" s="1" t="s">
        <v>1198</v>
      </c>
      <c r="C1" s="1" t="s">
        <v>1199</v>
      </c>
      <c r="D1" s="1" t="s">
        <v>1200</v>
      </c>
      <c r="E1" s="1" t="s">
        <v>1201</v>
      </c>
      <c r="F1" s="1" t="s">
        <v>1202</v>
      </c>
      <c r="G1" s="1" t="s">
        <v>1203</v>
      </c>
      <c r="H1" s="1" t="s">
        <v>1204</v>
      </c>
      <c r="I1" s="1" t="s">
        <v>1205</v>
      </c>
      <c r="J1" s="1" t="s">
        <v>1206</v>
      </c>
      <c r="K1" s="1" t="s">
        <v>1207</v>
      </c>
      <c r="L1" s="1" t="s">
        <v>1208</v>
      </c>
      <c r="M1" s="1" t="s">
        <v>1209</v>
      </c>
      <c r="N1" s="1" t="s">
        <v>1210</v>
      </c>
    </row>
    <row r="2" customHeight="1" spans="1:14">
      <c r="A2" s="3">
        <v>40</v>
      </c>
      <c r="B2" s="3">
        <v>650</v>
      </c>
      <c r="C2" s="3">
        <v>216</v>
      </c>
      <c r="D2" s="3">
        <v>284</v>
      </c>
      <c r="E2" s="12">
        <v>0.0277777777777778</v>
      </c>
      <c r="F2" s="3">
        <v>6</v>
      </c>
      <c r="G2" s="3">
        <v>247</v>
      </c>
      <c r="H2" s="3">
        <v>247</v>
      </c>
      <c r="I2" s="3">
        <v>6</v>
      </c>
      <c r="J2" s="12">
        <v>0.494</v>
      </c>
      <c r="K2" s="12">
        <v>0.130281690140845</v>
      </c>
      <c r="L2" s="12">
        <v>0.86046511627907</v>
      </c>
      <c r="M2" s="12">
        <v>0.459518599562363</v>
      </c>
      <c r="N2" s="12">
        <v>0.130281690140845</v>
      </c>
    </row>
    <row r="3" customHeight="1" spans="1:14">
      <c r="A3" s="3">
        <v>40</v>
      </c>
      <c r="B3" s="3">
        <v>675</v>
      </c>
      <c r="C3" s="3">
        <v>196</v>
      </c>
      <c r="D3" s="3">
        <v>304</v>
      </c>
      <c r="E3" s="12">
        <v>0.0306122448979592</v>
      </c>
      <c r="F3" s="3">
        <v>6</v>
      </c>
      <c r="G3" s="3">
        <v>267</v>
      </c>
      <c r="H3" s="3">
        <v>267</v>
      </c>
      <c r="I3" s="3">
        <v>6</v>
      </c>
      <c r="J3" s="12">
        <v>0.454</v>
      </c>
      <c r="K3" s="12">
        <v>0.12171052631579</v>
      </c>
      <c r="L3" s="12">
        <v>0.86046511627907</v>
      </c>
      <c r="M3" s="12">
        <v>0.415754923413567</v>
      </c>
      <c r="N3" s="12">
        <v>0.12171052631579</v>
      </c>
    </row>
    <row r="4" customHeight="1" spans="1:14">
      <c r="A4" s="3">
        <v>40</v>
      </c>
      <c r="B4" s="3">
        <v>700</v>
      </c>
      <c r="C4" s="3">
        <v>162</v>
      </c>
      <c r="D4" s="3">
        <v>338</v>
      </c>
      <c r="E4" s="12">
        <v>0.037037037037037</v>
      </c>
      <c r="F4" s="3">
        <v>6</v>
      </c>
      <c r="G4" s="3">
        <v>301</v>
      </c>
      <c r="H4" s="3">
        <v>301</v>
      </c>
      <c r="I4" s="3">
        <v>6</v>
      </c>
      <c r="J4" s="12">
        <v>0.386</v>
      </c>
      <c r="K4" s="12">
        <v>0.109467455621302</v>
      </c>
      <c r="L4" s="12">
        <v>0.86046511627907</v>
      </c>
      <c r="M4" s="12">
        <v>0.341356673960613</v>
      </c>
      <c r="N4" s="12">
        <v>0.109467455621302</v>
      </c>
    </row>
    <row r="5" customHeight="1" spans="1:14">
      <c r="A5" s="3">
        <v>40</v>
      </c>
      <c r="B5" s="3">
        <v>725</v>
      </c>
      <c r="C5" s="3">
        <v>112</v>
      </c>
      <c r="D5" s="3">
        <v>388</v>
      </c>
      <c r="E5" s="12">
        <v>0.0357142857142857</v>
      </c>
      <c r="F5" s="3">
        <v>4</v>
      </c>
      <c r="G5" s="3">
        <v>349</v>
      </c>
      <c r="H5" s="3">
        <v>349</v>
      </c>
      <c r="I5" s="3">
        <v>4</v>
      </c>
      <c r="J5" s="12">
        <v>0.294</v>
      </c>
      <c r="K5" s="12">
        <v>0.100515463917526</v>
      </c>
      <c r="L5" s="12">
        <v>0.906976744186047</v>
      </c>
      <c r="M5" s="12">
        <v>0.236323851203501</v>
      </c>
      <c r="N5" s="12">
        <v>0.100515463917526</v>
      </c>
    </row>
    <row r="6" customHeight="1" spans="1:14">
      <c r="A6" s="3">
        <v>40</v>
      </c>
      <c r="B6" s="3">
        <v>750</v>
      </c>
      <c r="C6" s="3">
        <v>73</v>
      </c>
      <c r="D6" s="3">
        <v>427</v>
      </c>
      <c r="E6" s="12">
        <v>0.0273972602739726</v>
      </c>
      <c r="F6" s="3">
        <v>2</v>
      </c>
      <c r="G6" s="3">
        <v>386</v>
      </c>
      <c r="H6" s="3">
        <v>386</v>
      </c>
      <c r="I6" s="3">
        <v>2</v>
      </c>
      <c r="J6" s="12">
        <v>0.224</v>
      </c>
      <c r="K6" s="12">
        <v>0.0960187353629977</v>
      </c>
      <c r="L6" s="12">
        <v>0.953488372093023</v>
      </c>
      <c r="M6" s="12">
        <v>0.155361050328228</v>
      </c>
      <c r="N6" s="12">
        <v>0.0960187353629977</v>
      </c>
    </row>
    <row r="7" customHeight="1" spans="1:14">
      <c r="A7" s="3">
        <v>45</v>
      </c>
      <c r="B7" s="3">
        <v>650</v>
      </c>
      <c r="C7" s="3">
        <v>249</v>
      </c>
      <c r="D7" s="3">
        <v>251</v>
      </c>
      <c r="E7" s="12">
        <v>0.036144578313253</v>
      </c>
      <c r="F7" s="3">
        <v>9</v>
      </c>
      <c r="G7" s="3">
        <v>217</v>
      </c>
      <c r="H7" s="3">
        <v>217</v>
      </c>
      <c r="I7" s="3">
        <v>9</v>
      </c>
      <c r="J7" s="12">
        <v>0.548</v>
      </c>
      <c r="K7" s="12">
        <v>0.135458167330677</v>
      </c>
      <c r="L7" s="12">
        <v>0.790697674418605</v>
      </c>
      <c r="M7" s="12">
        <v>0.525164113785558</v>
      </c>
      <c r="N7" s="12">
        <v>0.135458167330677</v>
      </c>
    </row>
    <row r="8" customHeight="1" spans="1:14">
      <c r="A8" s="3">
        <v>45</v>
      </c>
      <c r="B8" s="3">
        <v>675</v>
      </c>
      <c r="C8" s="3">
        <v>224</v>
      </c>
      <c r="D8" s="3">
        <v>276</v>
      </c>
      <c r="E8" s="12">
        <v>0.0401785714285714</v>
      </c>
      <c r="F8" s="3">
        <v>9</v>
      </c>
      <c r="G8" s="3">
        <v>242</v>
      </c>
      <c r="H8" s="3">
        <v>242</v>
      </c>
      <c r="I8" s="3">
        <v>9</v>
      </c>
      <c r="J8" s="12">
        <v>0.498</v>
      </c>
      <c r="K8" s="12">
        <v>0.123188405797102</v>
      </c>
      <c r="L8" s="12">
        <v>0.790697674418605</v>
      </c>
      <c r="M8" s="12">
        <v>0.470459518599562</v>
      </c>
      <c r="N8" s="12">
        <v>0.123188405797102</v>
      </c>
    </row>
    <row r="9" customHeight="1" spans="1:14">
      <c r="A9" s="3">
        <v>45</v>
      </c>
      <c r="B9" s="3">
        <v>700</v>
      </c>
      <c r="C9" s="3">
        <v>187</v>
      </c>
      <c r="D9" s="3">
        <v>313</v>
      </c>
      <c r="E9" s="12">
        <v>0.0427807486631016</v>
      </c>
      <c r="F9" s="3">
        <v>8</v>
      </c>
      <c r="G9" s="3">
        <v>278</v>
      </c>
      <c r="H9" s="3">
        <v>278</v>
      </c>
      <c r="I9" s="3">
        <v>8</v>
      </c>
      <c r="J9" s="12">
        <v>0.428</v>
      </c>
      <c r="K9" s="12">
        <v>0.111821086261981</v>
      </c>
      <c r="L9" s="12">
        <v>0.813953488372093</v>
      </c>
      <c r="M9" s="12">
        <v>0.391684901531729</v>
      </c>
      <c r="N9" s="12">
        <v>0.111821086261981</v>
      </c>
    </row>
    <row r="10" customHeight="1" spans="1:14">
      <c r="A10" s="3">
        <v>45</v>
      </c>
      <c r="B10" s="3">
        <v>725</v>
      </c>
      <c r="C10" s="3">
        <v>132</v>
      </c>
      <c r="D10" s="3">
        <v>368</v>
      </c>
      <c r="E10" s="12">
        <v>0.0454545454545455</v>
      </c>
      <c r="F10" s="3">
        <v>6</v>
      </c>
      <c r="G10" s="3">
        <v>331</v>
      </c>
      <c r="H10" s="3">
        <v>331</v>
      </c>
      <c r="I10" s="3">
        <v>6</v>
      </c>
      <c r="J10" s="12">
        <v>0.326</v>
      </c>
      <c r="K10" s="12">
        <v>0.10054347826087</v>
      </c>
      <c r="L10" s="12">
        <v>0.86046511627907</v>
      </c>
      <c r="M10" s="12">
        <v>0.275711159737418</v>
      </c>
      <c r="N10" s="12">
        <v>0.10054347826087</v>
      </c>
    </row>
    <row r="11" customHeight="1" spans="1:14">
      <c r="A11" s="3">
        <v>45</v>
      </c>
      <c r="B11" s="3">
        <v>750</v>
      </c>
      <c r="C11" s="3">
        <v>86</v>
      </c>
      <c r="D11" s="3">
        <v>414</v>
      </c>
      <c r="E11" s="12">
        <v>0.0232558139534884</v>
      </c>
      <c r="F11" s="3">
        <v>2</v>
      </c>
      <c r="G11" s="3">
        <v>373</v>
      </c>
      <c r="H11" s="3">
        <v>373</v>
      </c>
      <c r="I11" s="3">
        <v>2</v>
      </c>
      <c r="J11" s="12">
        <v>0.25</v>
      </c>
      <c r="K11" s="12">
        <v>0.0990338164251208</v>
      </c>
      <c r="L11" s="12">
        <v>0.953488372093023</v>
      </c>
      <c r="M11" s="12">
        <v>0.183807439824945</v>
      </c>
      <c r="N11" s="12">
        <v>0.0990338164251208</v>
      </c>
    </row>
    <row r="12" customHeight="1" spans="1:14">
      <c r="A12" s="3">
        <v>50</v>
      </c>
      <c r="B12" s="3">
        <v>650</v>
      </c>
      <c r="C12" s="3">
        <v>273</v>
      </c>
      <c r="D12" s="3">
        <v>227</v>
      </c>
      <c r="E12" s="12">
        <v>0.0402930402930403</v>
      </c>
      <c r="F12" s="3">
        <v>11</v>
      </c>
      <c r="G12" s="3">
        <v>195</v>
      </c>
      <c r="H12" s="3">
        <v>195</v>
      </c>
      <c r="I12" s="3">
        <v>11</v>
      </c>
      <c r="J12" s="12">
        <v>0.588</v>
      </c>
      <c r="K12" s="12">
        <v>0.140969162995595</v>
      </c>
      <c r="L12" s="12">
        <v>0.744186046511628</v>
      </c>
      <c r="M12" s="12">
        <v>0.573304157549234</v>
      </c>
      <c r="N12" s="12">
        <v>0.140969162995595</v>
      </c>
    </row>
    <row r="13" customHeight="1" spans="1:14">
      <c r="A13" s="3">
        <v>50</v>
      </c>
      <c r="B13" s="3">
        <v>675</v>
      </c>
      <c r="C13" s="3">
        <v>247</v>
      </c>
      <c r="D13" s="3">
        <v>253</v>
      </c>
      <c r="E13" s="12">
        <v>0.0445344129554656</v>
      </c>
      <c r="F13" s="3">
        <v>11</v>
      </c>
      <c r="G13" s="3">
        <v>221</v>
      </c>
      <c r="H13" s="3">
        <v>221</v>
      </c>
      <c r="I13" s="3">
        <v>11</v>
      </c>
      <c r="J13" s="12">
        <v>0.536</v>
      </c>
      <c r="K13" s="12">
        <v>0.126482213438735</v>
      </c>
      <c r="L13" s="12">
        <v>0.744186046511628</v>
      </c>
      <c r="M13" s="12">
        <v>0.516411378555799</v>
      </c>
      <c r="N13" s="12">
        <v>0.126482213438735</v>
      </c>
    </row>
    <row r="14" customHeight="1" spans="1:14">
      <c r="A14" s="3">
        <v>50</v>
      </c>
      <c r="B14" s="3">
        <v>700</v>
      </c>
      <c r="C14" s="3">
        <v>203</v>
      </c>
      <c r="D14" s="3">
        <v>297</v>
      </c>
      <c r="E14" s="12">
        <v>0.0443349753694581</v>
      </c>
      <c r="F14" s="3">
        <v>9</v>
      </c>
      <c r="G14" s="3">
        <v>263</v>
      </c>
      <c r="H14" s="3">
        <v>263</v>
      </c>
      <c r="I14" s="3">
        <v>9</v>
      </c>
      <c r="J14" s="12">
        <v>0.456</v>
      </c>
      <c r="K14" s="12">
        <v>0.114478114478115</v>
      </c>
      <c r="L14" s="12">
        <v>0.790697674418605</v>
      </c>
      <c r="M14" s="12">
        <v>0.424507658643326</v>
      </c>
      <c r="N14" s="12">
        <v>0.114478114478115</v>
      </c>
    </row>
    <row r="15" customHeight="1" spans="1:14">
      <c r="A15" s="3">
        <v>50</v>
      </c>
      <c r="B15" s="3">
        <v>725</v>
      </c>
      <c r="C15" s="3">
        <v>145</v>
      </c>
      <c r="D15" s="3">
        <v>355</v>
      </c>
      <c r="E15" s="12">
        <v>0.0413793103448276</v>
      </c>
      <c r="F15" s="3">
        <v>6</v>
      </c>
      <c r="G15" s="3">
        <v>318</v>
      </c>
      <c r="H15" s="3">
        <v>318</v>
      </c>
      <c r="I15" s="3">
        <v>6</v>
      </c>
      <c r="J15" s="12">
        <v>0.352</v>
      </c>
      <c r="K15" s="12">
        <v>0.104225352112676</v>
      </c>
      <c r="L15" s="12">
        <v>0.86046511627907</v>
      </c>
      <c r="M15" s="12">
        <v>0.304157549234136</v>
      </c>
      <c r="N15" s="12">
        <v>0.104225352112676</v>
      </c>
    </row>
    <row r="16" customHeight="1" spans="1:14">
      <c r="A16" s="3">
        <v>50</v>
      </c>
      <c r="B16" s="3">
        <v>750</v>
      </c>
      <c r="C16" s="3">
        <v>95</v>
      </c>
      <c r="D16" s="3">
        <v>405</v>
      </c>
      <c r="E16" s="12">
        <v>0.0210526315789474</v>
      </c>
      <c r="F16" s="3">
        <v>2</v>
      </c>
      <c r="G16" s="3">
        <v>364</v>
      </c>
      <c r="H16" s="3">
        <v>364</v>
      </c>
      <c r="I16" s="3">
        <v>2</v>
      </c>
      <c r="J16" s="12">
        <v>0.268</v>
      </c>
      <c r="K16" s="12">
        <v>0.101234567901235</v>
      </c>
      <c r="L16" s="12">
        <v>0.953488372093023</v>
      </c>
      <c r="M16" s="12">
        <v>0.203501094091904</v>
      </c>
      <c r="N16" s="12">
        <v>0.101234567901235</v>
      </c>
    </row>
    <row r="17" customHeight="1" spans="1:14">
      <c r="A17" s="3">
        <v>55</v>
      </c>
      <c r="B17" s="3">
        <v>650</v>
      </c>
      <c r="C17" s="3">
        <v>303</v>
      </c>
      <c r="D17" s="3">
        <v>197</v>
      </c>
      <c r="E17" s="12">
        <v>0.0429042904290429</v>
      </c>
      <c r="F17" s="3">
        <v>13</v>
      </c>
      <c r="G17" s="3">
        <v>167</v>
      </c>
      <c r="H17" s="3">
        <v>167</v>
      </c>
      <c r="I17" s="3">
        <v>13</v>
      </c>
      <c r="J17" s="12">
        <v>0.64</v>
      </c>
      <c r="K17" s="12">
        <v>0.152284263959391</v>
      </c>
      <c r="L17" s="12">
        <v>0.697674418604651</v>
      </c>
      <c r="M17" s="12">
        <v>0.634573304157549</v>
      </c>
      <c r="N17" s="12">
        <v>0.152284263959391</v>
      </c>
    </row>
    <row r="18" customHeight="1" spans="1:14">
      <c r="A18" s="3">
        <v>55</v>
      </c>
      <c r="B18" s="3">
        <v>675</v>
      </c>
      <c r="C18" s="3">
        <v>274</v>
      </c>
      <c r="D18" s="3">
        <v>226</v>
      </c>
      <c r="E18" s="12">
        <v>0.0474452554744526</v>
      </c>
      <c r="F18" s="3">
        <v>13</v>
      </c>
      <c r="G18" s="3">
        <v>196</v>
      </c>
      <c r="H18" s="3">
        <v>196</v>
      </c>
      <c r="I18" s="3">
        <v>13</v>
      </c>
      <c r="J18" s="12">
        <v>0.582</v>
      </c>
      <c r="K18" s="12">
        <v>0.132743362831858</v>
      </c>
      <c r="L18" s="12">
        <v>0.697674418604651</v>
      </c>
      <c r="M18" s="12">
        <v>0.571115973741794</v>
      </c>
      <c r="N18" s="12">
        <v>0.132743362831858</v>
      </c>
    </row>
    <row r="19" customHeight="1" spans="1:14">
      <c r="A19" s="3">
        <v>55</v>
      </c>
      <c r="B19" s="3">
        <v>700</v>
      </c>
      <c r="C19" s="3">
        <v>224</v>
      </c>
      <c r="D19" s="3">
        <v>276</v>
      </c>
      <c r="E19" s="12">
        <v>0.0446428571428571</v>
      </c>
      <c r="F19" s="3">
        <v>10</v>
      </c>
      <c r="G19" s="3">
        <v>243</v>
      </c>
      <c r="H19" s="3">
        <v>243</v>
      </c>
      <c r="I19" s="3">
        <v>10</v>
      </c>
      <c r="J19" s="12">
        <v>0.494</v>
      </c>
      <c r="K19" s="12">
        <v>0.119565217391304</v>
      </c>
      <c r="L19" s="12">
        <v>0.767441860465116</v>
      </c>
      <c r="M19" s="12">
        <v>0.468271334792123</v>
      </c>
      <c r="N19" s="12">
        <v>0.119565217391304</v>
      </c>
    </row>
    <row r="20" customHeight="1" spans="1:14">
      <c r="A20" s="3">
        <v>55</v>
      </c>
      <c r="B20" s="3">
        <v>725</v>
      </c>
      <c r="C20" s="3">
        <v>164</v>
      </c>
      <c r="D20" s="3">
        <v>336</v>
      </c>
      <c r="E20" s="12">
        <v>0.0426829268292683</v>
      </c>
      <c r="F20" s="3">
        <v>7</v>
      </c>
      <c r="G20" s="3">
        <v>300</v>
      </c>
      <c r="H20" s="3">
        <v>300</v>
      </c>
      <c r="I20" s="3">
        <v>7</v>
      </c>
      <c r="J20" s="12">
        <v>0.386</v>
      </c>
      <c r="K20" s="12">
        <v>0.107142857142857</v>
      </c>
      <c r="L20" s="12">
        <v>0.837209302325581</v>
      </c>
      <c r="M20" s="12">
        <v>0.343544857768053</v>
      </c>
      <c r="N20" s="12">
        <v>0.107142857142857</v>
      </c>
    </row>
    <row r="21" customHeight="1" spans="1:14">
      <c r="A21" s="3">
        <v>55</v>
      </c>
      <c r="B21" s="3">
        <v>750</v>
      </c>
      <c r="C21" s="3">
        <v>106</v>
      </c>
      <c r="D21" s="3">
        <v>394</v>
      </c>
      <c r="E21" s="12">
        <v>0.0283018867924528</v>
      </c>
      <c r="F21" s="3">
        <v>3</v>
      </c>
      <c r="G21" s="3">
        <v>354</v>
      </c>
      <c r="H21" s="3">
        <v>354</v>
      </c>
      <c r="I21" s="3">
        <v>3</v>
      </c>
      <c r="J21" s="12">
        <v>0.286</v>
      </c>
      <c r="K21" s="12">
        <v>0.101522842639594</v>
      </c>
      <c r="L21" s="12">
        <v>0.930232558139535</v>
      </c>
      <c r="M21" s="12">
        <v>0.225382932166302</v>
      </c>
      <c r="N21" s="12">
        <v>0.101522842639594</v>
      </c>
    </row>
    <row r="22" customHeight="1" spans="1:14">
      <c r="A22" s="3">
        <v>60</v>
      </c>
      <c r="B22" s="3">
        <v>650</v>
      </c>
      <c r="C22" s="3">
        <v>326</v>
      </c>
      <c r="D22" s="3">
        <v>174</v>
      </c>
      <c r="E22" s="12">
        <v>0.0429447852760736</v>
      </c>
      <c r="F22" s="3">
        <v>14</v>
      </c>
      <c r="G22" s="3">
        <v>145</v>
      </c>
      <c r="H22" s="3">
        <v>145</v>
      </c>
      <c r="I22" s="3">
        <v>14</v>
      </c>
      <c r="J22" s="12">
        <v>0.682</v>
      </c>
      <c r="K22" s="12">
        <v>0.166666666666667</v>
      </c>
      <c r="L22" s="12">
        <v>0.674418604651163</v>
      </c>
      <c r="M22" s="12">
        <v>0.682713347921225</v>
      </c>
      <c r="N22" s="12">
        <v>0.166666666666667</v>
      </c>
    </row>
    <row r="23" customHeight="1" spans="1:14">
      <c r="A23" s="3">
        <v>60</v>
      </c>
      <c r="B23" s="3">
        <v>675</v>
      </c>
      <c r="C23" s="3">
        <v>295</v>
      </c>
      <c r="D23" s="3">
        <v>205</v>
      </c>
      <c r="E23" s="12">
        <v>0.0474576271186441</v>
      </c>
      <c r="F23" s="3">
        <v>14</v>
      </c>
      <c r="G23" s="3">
        <v>176</v>
      </c>
      <c r="H23" s="3">
        <v>176</v>
      </c>
      <c r="I23" s="3">
        <v>14</v>
      </c>
      <c r="J23" s="12">
        <v>0.62</v>
      </c>
      <c r="K23" s="12">
        <v>0.141463414634146</v>
      </c>
      <c r="L23" s="12">
        <v>0.674418604651163</v>
      </c>
      <c r="M23" s="12">
        <v>0.614879649890591</v>
      </c>
      <c r="N23" s="12">
        <v>0.141463414634146</v>
      </c>
    </row>
    <row r="24" customHeight="1" spans="1:14">
      <c r="A24" s="3">
        <v>60</v>
      </c>
      <c r="B24" s="3">
        <v>700</v>
      </c>
      <c r="C24" s="3">
        <v>244</v>
      </c>
      <c r="D24" s="3">
        <v>256</v>
      </c>
      <c r="E24" s="12">
        <v>0.0450819672131148</v>
      </c>
      <c r="F24" s="3">
        <v>11</v>
      </c>
      <c r="G24" s="3">
        <v>224</v>
      </c>
      <c r="H24" s="3">
        <v>224</v>
      </c>
      <c r="I24" s="3">
        <v>11</v>
      </c>
      <c r="J24" s="12">
        <v>0.53</v>
      </c>
      <c r="K24" s="12">
        <v>0.125</v>
      </c>
      <c r="L24" s="12">
        <v>0.744186046511628</v>
      </c>
      <c r="M24" s="12">
        <v>0.509846827133479</v>
      </c>
      <c r="N24" s="12">
        <v>0.125</v>
      </c>
    </row>
    <row r="25" customHeight="1" spans="1:14">
      <c r="A25" s="3">
        <v>60</v>
      </c>
      <c r="B25" s="3">
        <v>725</v>
      </c>
      <c r="C25" s="3">
        <v>182</v>
      </c>
      <c r="D25" s="3">
        <v>318</v>
      </c>
      <c r="E25" s="12">
        <v>0.043956043956044</v>
      </c>
      <c r="F25" s="3">
        <v>8</v>
      </c>
      <c r="G25" s="3">
        <v>283</v>
      </c>
      <c r="H25" s="3">
        <v>283</v>
      </c>
      <c r="I25" s="3">
        <v>8</v>
      </c>
      <c r="J25" s="12">
        <v>0.418</v>
      </c>
      <c r="K25" s="12">
        <v>0.110062893081761</v>
      </c>
      <c r="L25" s="12">
        <v>0.813953488372093</v>
      </c>
      <c r="M25" s="12">
        <v>0.38074398249453</v>
      </c>
      <c r="N25" s="12">
        <v>0.110062893081761</v>
      </c>
    </row>
    <row r="26" customHeight="1" spans="1:14">
      <c r="A26" s="3">
        <v>60</v>
      </c>
      <c r="B26" s="3">
        <v>750</v>
      </c>
      <c r="C26" s="3">
        <v>117</v>
      </c>
      <c r="D26" s="3">
        <v>383</v>
      </c>
      <c r="E26" s="12">
        <v>0.0341880341880342</v>
      </c>
      <c r="F26" s="3">
        <v>4</v>
      </c>
      <c r="G26" s="3">
        <v>344</v>
      </c>
      <c r="H26" s="3">
        <v>344</v>
      </c>
      <c r="I26" s="3">
        <v>4</v>
      </c>
      <c r="J26" s="12">
        <v>0.304</v>
      </c>
      <c r="K26" s="12">
        <v>0.101827676240209</v>
      </c>
      <c r="L26" s="12">
        <v>0.906976744186047</v>
      </c>
      <c r="M26" s="12">
        <v>0.2472647702407</v>
      </c>
      <c r="N26" s="12">
        <v>0.101827676240209</v>
      </c>
    </row>
  </sheetData>
  <autoFilter xmlns:etc="http://www.wps.cn/officeDocument/2017/etCustomData" ref="A1:N26" etc:filterBottomFollowUsedRange="0">
    <extLst/>
  </autoFilter>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pane ySplit="1" topLeftCell="A2" activePane="bottomLeft" state="frozen"/>
      <selection/>
      <selection pane="bottomLeft" activeCell="A1" sqref="A1"/>
    </sheetView>
  </sheetViews>
  <sheetFormatPr defaultColWidth="8.67592592592593" defaultRowHeight="15" customHeight="1"/>
  <cols>
    <col min="1" max="1" width="12" customWidth="1"/>
    <col min="2" max="2" width="14" customWidth="1"/>
    <col min="3" max="3" width="18" customWidth="1"/>
    <col min="4" max="5" width="16" customWidth="1"/>
    <col min="6" max="6" width="18" customWidth="1"/>
    <col min="7" max="7" width="16" customWidth="1"/>
    <col min="8" max="8" width="18" customWidth="1"/>
    <col min="9" max="9" width="22" customWidth="1"/>
    <col min="10" max="10" width="20" customWidth="1"/>
    <col min="11" max="11" width="12" customWidth="1"/>
  </cols>
  <sheetData>
    <row r="1" ht="31.5" customHeight="1" spans="1:11">
      <c r="A1" s="1" t="s">
        <v>1211</v>
      </c>
      <c r="B1" s="1" t="s">
        <v>1212</v>
      </c>
      <c r="C1" s="1" t="s">
        <v>1213</v>
      </c>
      <c r="D1" s="1" t="s">
        <v>1214</v>
      </c>
      <c r="E1" s="1" t="s">
        <v>1215</v>
      </c>
      <c r="F1" s="1" t="s">
        <v>1216</v>
      </c>
      <c r="G1" s="1" t="s">
        <v>1217</v>
      </c>
      <c r="H1" s="1" t="s">
        <v>1218</v>
      </c>
      <c r="I1" s="1" t="s">
        <v>1219</v>
      </c>
      <c r="J1" s="1" t="s">
        <v>1220</v>
      </c>
      <c r="K1" s="1" t="s">
        <v>1221</v>
      </c>
    </row>
    <row r="2" customHeight="1" spans="1:11">
      <c r="A2" s="3" t="s">
        <v>1222</v>
      </c>
      <c r="B2" s="3" t="s">
        <v>79</v>
      </c>
      <c r="C2" s="10">
        <v>21442.5002966384</v>
      </c>
      <c r="D2" s="10">
        <v>21442.5002966384</v>
      </c>
      <c r="E2" s="10">
        <v>0</v>
      </c>
      <c r="F2" s="10">
        <v>73.4662253353668</v>
      </c>
      <c r="G2" s="10">
        <v>73.4662253353668</v>
      </c>
      <c r="H2" s="10">
        <v>0</v>
      </c>
      <c r="I2" s="3" t="s">
        <v>1171</v>
      </c>
      <c r="J2" s="3" t="s">
        <v>1171</v>
      </c>
      <c r="K2" s="11" t="s">
        <v>1182</v>
      </c>
    </row>
    <row r="3" customHeight="1" spans="1:11">
      <c r="A3" s="3" t="s">
        <v>1223</v>
      </c>
      <c r="B3" s="3" t="s">
        <v>208</v>
      </c>
      <c r="C3" s="10">
        <v>14534.9711306847</v>
      </c>
      <c r="D3" s="10">
        <v>14534.9711306847</v>
      </c>
      <c r="E3" s="10">
        <v>0</v>
      </c>
      <c r="F3" s="10">
        <v>10.6895223577189</v>
      </c>
      <c r="G3" s="10">
        <v>10.6895223577189</v>
      </c>
      <c r="H3" s="10">
        <v>0</v>
      </c>
      <c r="I3" s="3" t="s">
        <v>1174</v>
      </c>
      <c r="J3" s="3" t="s">
        <v>1174</v>
      </c>
      <c r="K3" s="11" t="s">
        <v>1182</v>
      </c>
    </row>
    <row r="4" customHeight="1" spans="1:11">
      <c r="A4" s="3" t="s">
        <v>1224</v>
      </c>
      <c r="B4" s="3" t="s">
        <v>307</v>
      </c>
      <c r="C4" s="10">
        <v>24902.5760351965</v>
      </c>
      <c r="D4" s="10">
        <v>24902.5760351965</v>
      </c>
      <c r="E4" s="10">
        <v>0</v>
      </c>
      <c r="F4" s="10">
        <v>73.5054497804427</v>
      </c>
      <c r="G4" s="10">
        <v>73.5054497804427</v>
      </c>
      <c r="H4" s="10">
        <v>0</v>
      </c>
      <c r="I4" s="3" t="s">
        <v>1171</v>
      </c>
      <c r="J4" s="3" t="s">
        <v>1171</v>
      </c>
      <c r="K4" s="11" t="s">
        <v>1182</v>
      </c>
    </row>
    <row r="5" customHeight="1" spans="1:11">
      <c r="A5" s="3" t="s">
        <v>3</v>
      </c>
      <c r="B5" s="3" t="s">
        <v>400</v>
      </c>
      <c r="C5" s="10">
        <v>13488.1538803721</v>
      </c>
      <c r="D5" s="10">
        <v>13488.1538803721</v>
      </c>
      <c r="E5" s="10">
        <v>0</v>
      </c>
      <c r="F5" s="10">
        <v>23.1470425452514</v>
      </c>
      <c r="G5" s="10">
        <v>23.1470425452514</v>
      </c>
      <c r="H5" s="10">
        <v>0</v>
      </c>
      <c r="I5" s="3" t="s">
        <v>1171</v>
      </c>
      <c r="J5" s="3" t="s">
        <v>1171</v>
      </c>
      <c r="K5" s="11" t="s">
        <v>1182</v>
      </c>
    </row>
    <row r="6" customHeight="1" spans="1:11">
      <c r="A6" s="3" t="s">
        <v>1225</v>
      </c>
      <c r="B6" s="3" t="s">
        <v>497</v>
      </c>
      <c r="C6" s="10">
        <v>9898.32999868859</v>
      </c>
      <c r="D6" s="10">
        <v>9898.32999868859</v>
      </c>
      <c r="E6" s="10">
        <v>0</v>
      </c>
      <c r="F6" s="10">
        <v>15.1481099584367</v>
      </c>
      <c r="G6" s="10">
        <v>15.1481099584367</v>
      </c>
      <c r="H6" s="10">
        <v>0</v>
      </c>
      <c r="I6" s="3" t="s">
        <v>1174</v>
      </c>
      <c r="J6" s="3" t="s">
        <v>1174</v>
      </c>
      <c r="K6" s="11" t="s">
        <v>1182</v>
      </c>
    </row>
    <row r="7" customHeight="1" spans="1:11">
      <c r="A7" s="3" t="s">
        <v>1226</v>
      </c>
      <c r="B7" s="3" t="s">
        <v>588</v>
      </c>
      <c r="C7" s="10">
        <v>21525.5717803338</v>
      </c>
      <c r="D7" s="10">
        <v>21525.5717803338</v>
      </c>
      <c r="E7" s="10">
        <v>0</v>
      </c>
      <c r="F7" s="10">
        <v>54.5265668976823</v>
      </c>
      <c r="G7" s="10">
        <v>54.5265668976823</v>
      </c>
      <c r="H7" s="10">
        <v>0</v>
      </c>
      <c r="I7" s="3" t="s">
        <v>1171</v>
      </c>
      <c r="J7" s="3" t="s">
        <v>1171</v>
      </c>
      <c r="K7" s="11" t="s">
        <v>1182</v>
      </c>
    </row>
    <row r="8" customHeight="1" spans="1:11">
      <c r="A8" s="3" t="s">
        <v>1227</v>
      </c>
      <c r="B8" s="3" t="s">
        <v>681</v>
      </c>
      <c r="C8" s="10">
        <v>22013.859642707</v>
      </c>
      <c r="D8" s="10">
        <v>22013.859642707</v>
      </c>
      <c r="E8" s="10">
        <v>0</v>
      </c>
      <c r="F8" s="10">
        <v>22.2499314150204</v>
      </c>
      <c r="G8" s="10">
        <v>22.2499314150204</v>
      </c>
      <c r="H8" s="10">
        <v>0</v>
      </c>
      <c r="I8" s="3" t="s">
        <v>1174</v>
      </c>
      <c r="J8" s="3" t="s">
        <v>1174</v>
      </c>
      <c r="K8" s="11" t="s">
        <v>1182</v>
      </c>
    </row>
    <row r="9" customHeight="1" spans="1:11">
      <c r="A9" s="3" t="s">
        <v>1228</v>
      </c>
      <c r="B9" s="3" t="s">
        <v>772</v>
      </c>
      <c r="C9" s="10">
        <v>32535.6776763335</v>
      </c>
      <c r="D9" s="10">
        <v>32535.6776763335</v>
      </c>
      <c r="E9" s="10">
        <v>0</v>
      </c>
      <c r="F9" s="10">
        <v>53.4484544483327</v>
      </c>
      <c r="G9" s="10">
        <v>53.4484544483327</v>
      </c>
      <c r="H9" s="10">
        <v>0</v>
      </c>
      <c r="I9" s="3" t="s">
        <v>1171</v>
      </c>
      <c r="J9" s="3" t="s">
        <v>1171</v>
      </c>
      <c r="K9" s="11" t="s">
        <v>1182</v>
      </c>
    </row>
    <row r="10" customHeight="1" spans="1:11">
      <c r="A10" s="3" t="s">
        <v>1229</v>
      </c>
      <c r="B10" s="3" t="s">
        <v>859</v>
      </c>
      <c r="C10" s="10">
        <v>13648.0335769744</v>
      </c>
      <c r="D10" s="10">
        <v>13648.0335769744</v>
      </c>
      <c r="E10" s="10">
        <v>0</v>
      </c>
      <c r="F10" s="10">
        <v>75.9529056832225</v>
      </c>
      <c r="G10" s="10">
        <v>75.9529056832225</v>
      </c>
      <c r="H10" s="10">
        <v>0</v>
      </c>
      <c r="I10" s="3" t="s">
        <v>1171</v>
      </c>
      <c r="J10" s="3" t="s">
        <v>1171</v>
      </c>
      <c r="K10" s="11" t="s">
        <v>1182</v>
      </c>
    </row>
    <row r="11" customHeight="1" spans="1:11">
      <c r="A11" s="3" t="s">
        <v>1230</v>
      </c>
      <c r="B11" s="3" t="s">
        <v>946</v>
      </c>
      <c r="C11" s="10">
        <v>8083.05218939803</v>
      </c>
      <c r="D11" s="10">
        <v>8083.05218939803</v>
      </c>
      <c r="E11" s="10">
        <v>0</v>
      </c>
      <c r="F11" s="10">
        <v>23.1318896616463</v>
      </c>
      <c r="G11" s="10">
        <v>23.1318896616463</v>
      </c>
      <c r="H11" s="10">
        <v>0</v>
      </c>
      <c r="I11" s="3" t="s">
        <v>1171</v>
      </c>
      <c r="J11" s="3" t="s">
        <v>1171</v>
      </c>
      <c r="K11" s="11" t="s">
        <v>1182</v>
      </c>
    </row>
  </sheetData>
  <autoFilter xmlns:etc="http://www.wps.cn/officeDocument/2017/etCustomData" ref="A1:K11" etc:filterBottomFollowUsedRange="0">
    <extLst/>
  </autoFilter>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6"/>
  <sheetViews>
    <sheetView showGridLines="0" workbookViewId="0">
      <selection activeCell="A1" sqref="A1:H1"/>
    </sheetView>
  </sheetViews>
  <sheetFormatPr defaultColWidth="8.67592592592593" defaultRowHeight="15" customHeight="1"/>
  <cols>
    <col min="1" max="11" width="20" customWidth="1"/>
  </cols>
  <sheetData>
    <row r="1" ht="21.75" customHeight="1" spans="1:11">
      <c r="A1" s="4" t="s">
        <v>1231</v>
      </c>
    </row>
    <row r="3" customHeight="1" spans="1:11">
      <c r="A3" s="5" t="s">
        <v>1232</v>
      </c>
    </row>
    <row r="5" customHeight="1" spans="1:11">
      <c r="A5" s="6" t="s">
        <v>1233</v>
      </c>
      <c r="C5" s="6" t="s">
        <v>1174</v>
      </c>
      <c r="E5" s="6" t="s">
        <v>1171</v>
      </c>
      <c r="G5" s="6" t="s">
        <v>1234</v>
      </c>
      <c r="J5" t="s">
        <v>1235</v>
      </c>
    </row>
    <row r="6" ht="19.5" customHeight="1" spans="1:11">
      <c r="A6" s="7">
        <v>500</v>
      </c>
      <c r="C6" s="7">
        <v>203</v>
      </c>
      <c r="E6" s="7">
        <v>297</v>
      </c>
      <c r="G6" s="7">
        <v>43</v>
      </c>
      <c r="J6" t="s">
        <v>1236</v>
      </c>
      <c r="K6" t="s">
        <v>1237</v>
      </c>
    </row>
    <row r="7" customHeight="1" spans="1:11">
      <c r="J7" t="s">
        <v>1238</v>
      </c>
      <c r="K7">
        <v>56</v>
      </c>
    </row>
    <row r="8" customHeight="1" spans="1:11">
      <c r="A8" s="6" t="s">
        <v>1239</v>
      </c>
      <c r="C8" s="6" t="s">
        <v>1240</v>
      </c>
      <c r="E8" s="6" t="s">
        <v>1241</v>
      </c>
      <c r="G8" s="6" t="s">
        <v>1242</v>
      </c>
      <c r="J8" t="s">
        <v>1243</v>
      </c>
      <c r="K8">
        <v>121</v>
      </c>
    </row>
    <row r="9" ht="19.5" customHeight="1" spans="1:11">
      <c r="A9" s="7">
        <v>0.086</v>
      </c>
      <c r="C9" s="7">
        <v>0.456</v>
      </c>
      <c r="E9" s="7">
        <v>263</v>
      </c>
      <c r="G9" s="7">
        <v>9</v>
      </c>
      <c r="J9" t="s">
        <v>1244</v>
      </c>
      <c r="K9">
        <v>160</v>
      </c>
    </row>
    <row r="10" customHeight="1" spans="1:11">
      <c r="J10" t="s">
        <v>1245</v>
      </c>
      <c r="K10">
        <v>121</v>
      </c>
    </row>
    <row r="11" customHeight="1" spans="1:11">
      <c r="J11" t="s">
        <v>1246</v>
      </c>
      <c r="K11">
        <v>42</v>
      </c>
    </row>
    <row r="12" ht="15.75" customHeight="1" spans="1:11">
      <c r="A12" s="8" t="s">
        <v>1247</v>
      </c>
    </row>
    <row r="13" customHeight="1" spans="1:11">
      <c r="A13" t="s">
        <v>1248</v>
      </c>
      <c r="B13" t="s">
        <v>1237</v>
      </c>
    </row>
    <row r="14" customHeight="1" spans="1:11">
      <c r="A14" t="s">
        <v>1174</v>
      </c>
      <c r="B14">
        <v>203</v>
      </c>
      <c r="J14" t="s">
        <v>1249</v>
      </c>
    </row>
    <row r="15" customHeight="1" spans="1:11">
      <c r="A15" t="s">
        <v>1171</v>
      </c>
      <c r="B15">
        <v>297</v>
      </c>
      <c r="J15" t="s">
        <v>1236</v>
      </c>
      <c r="K15" t="s">
        <v>1237</v>
      </c>
    </row>
    <row r="16" customHeight="1" spans="1:11">
      <c r="J16" t="s">
        <v>1250</v>
      </c>
      <c r="K16">
        <v>173</v>
      </c>
    </row>
    <row r="17" customHeight="1" spans="1:11">
      <c r="J17" t="s">
        <v>1251</v>
      </c>
      <c r="K17">
        <v>68</v>
      </c>
    </row>
    <row r="18" ht="15.75" customHeight="1" spans="1:11">
      <c r="A18" s="8" t="s">
        <v>1252</v>
      </c>
      <c r="J18" t="s">
        <v>1253</v>
      </c>
      <c r="K18">
        <v>67</v>
      </c>
    </row>
    <row r="19" customHeight="1" spans="1:11">
      <c r="A19" t="s">
        <v>1254</v>
      </c>
      <c r="B19" t="s">
        <v>1237</v>
      </c>
      <c r="J19" t="s">
        <v>1255</v>
      </c>
      <c r="K19">
        <v>58</v>
      </c>
    </row>
    <row r="20" customHeight="1" spans="1:11">
      <c r="A20" t="s">
        <v>1256</v>
      </c>
      <c r="B20">
        <v>43</v>
      </c>
      <c r="J20" t="s">
        <v>1257</v>
      </c>
      <c r="K20">
        <v>46</v>
      </c>
    </row>
    <row r="21" customHeight="1" spans="1:11">
      <c r="A21" t="s">
        <v>1258</v>
      </c>
      <c r="B21">
        <v>457</v>
      </c>
      <c r="J21" t="s">
        <v>1259</v>
      </c>
      <c r="K21">
        <v>88</v>
      </c>
    </row>
    <row r="24" ht="15.75" customHeight="1" spans="1:11">
      <c r="A24" s="8" t="s">
        <v>1260</v>
      </c>
    </row>
    <row r="25" customHeight="1" spans="1:11">
      <c r="A25" t="s">
        <v>1261</v>
      </c>
      <c r="B25" t="s">
        <v>1040</v>
      </c>
      <c r="C25" t="s">
        <v>1262</v>
      </c>
      <c r="D25" t="s">
        <v>1263</v>
      </c>
    </row>
    <row r="26" customHeight="1" spans="1:11">
      <c r="A26" t="s">
        <v>1174</v>
      </c>
      <c r="B26">
        <v>203</v>
      </c>
      <c r="C26">
        <v>9</v>
      </c>
      <c r="D26" s="9">
        <v>0.0443349753694581</v>
      </c>
    </row>
    <row r="27" customHeight="1" spans="1:11">
      <c r="A27" t="s">
        <v>1171</v>
      </c>
      <c r="B27">
        <v>297</v>
      </c>
      <c r="C27">
        <v>34</v>
      </c>
      <c r="D27" s="9">
        <v>0.114478114478115</v>
      </c>
    </row>
    <row r="31" customHeight="1" spans="1:11">
      <c r="A31" t="s">
        <v>1264</v>
      </c>
    </row>
    <row r="32" customHeight="1" spans="1:11">
      <c r="A32" t="s">
        <v>1265</v>
      </c>
      <c r="B32" t="s">
        <v>1174</v>
      </c>
      <c r="C32" t="s">
        <v>1266</v>
      </c>
      <c r="D32" t="s">
        <v>1202</v>
      </c>
      <c r="E32" t="s">
        <v>1206</v>
      </c>
      <c r="F32" t="s">
        <v>1267</v>
      </c>
    </row>
    <row r="33" customHeight="1" spans="1:6">
      <c r="A33" t="s">
        <v>1268</v>
      </c>
      <c r="B33">
        <v>203</v>
      </c>
      <c r="C33">
        <v>263</v>
      </c>
      <c r="D33">
        <v>9</v>
      </c>
      <c r="E33" s="9">
        <v>0.456</v>
      </c>
      <c r="F33" s="9">
        <v>0.0443349753694581</v>
      </c>
    </row>
    <row r="34" customHeight="1" spans="1:6">
      <c r="A34" t="s">
        <v>1269</v>
      </c>
      <c r="B34">
        <v>224</v>
      </c>
      <c r="C34">
        <v>243</v>
      </c>
      <c r="D34">
        <v>10</v>
      </c>
      <c r="E34" s="9">
        <v>0.494</v>
      </c>
      <c r="F34" s="9">
        <v>0.0446428571428571</v>
      </c>
    </row>
    <row r="35" customHeight="1" spans="1:6">
      <c r="A35" t="s">
        <v>1270</v>
      </c>
      <c r="B35">
        <v>145</v>
      </c>
      <c r="C35">
        <v>318</v>
      </c>
      <c r="D35">
        <v>6</v>
      </c>
      <c r="E35" s="9">
        <v>0.352</v>
      </c>
      <c r="F35" s="9">
        <v>0.0413793103448276</v>
      </c>
    </row>
    <row r="36" customHeight="1" spans="1:6">
      <c r="A36" t="s">
        <v>1271</v>
      </c>
      <c r="B36">
        <v>216</v>
      </c>
      <c r="C36">
        <v>247</v>
      </c>
      <c r="D36">
        <v>6</v>
      </c>
      <c r="E36" s="9">
        <v>0.494</v>
      </c>
      <c r="F36" s="9">
        <v>0.0277777777777778</v>
      </c>
    </row>
  </sheetData>
  <mergeCells count="18">
    <mergeCell ref="A1:H1"/>
    <mergeCell ref="A3:H3"/>
    <mergeCell ref="A5:B5"/>
    <mergeCell ref="C5:D5"/>
    <mergeCell ref="E5:F5"/>
    <mergeCell ref="G5:H5"/>
    <mergeCell ref="A6:B6"/>
    <mergeCell ref="C6:D6"/>
    <mergeCell ref="E6:F6"/>
    <mergeCell ref="G6:H6"/>
    <mergeCell ref="A8:B8"/>
    <mergeCell ref="C8:D8"/>
    <mergeCell ref="E8:F8"/>
    <mergeCell ref="G8:H8"/>
    <mergeCell ref="A9:B9"/>
    <mergeCell ref="C9:D9"/>
    <mergeCell ref="E9:F9"/>
    <mergeCell ref="G9:H9"/>
  </mergeCells>
  <pageMargins left="0.75" right="0.75" top="1" bottom="1" header="0.511811023622047" footer="0.511811023622047"/>
  <pageSetup paperSize="9" orientation="portrait" horizontalDpi="300" verticalDpi="300"/>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pane ySplit="1" topLeftCell="A2" activePane="bottomLeft" state="frozen"/>
      <selection/>
      <selection pane="bottomLeft" activeCell="A1" sqref="A1"/>
    </sheetView>
  </sheetViews>
  <sheetFormatPr defaultColWidth="8.67592592592593" defaultRowHeight="15" customHeight="1" outlineLevelCol="1"/>
  <cols>
    <col min="1" max="1" width="28" customWidth="1"/>
    <col min="2" max="2" width="110" customWidth="1"/>
  </cols>
  <sheetData>
    <row r="1" ht="31.5" customHeight="1" spans="1:2">
      <c r="A1" s="1" t="s">
        <v>1272</v>
      </c>
      <c r="B1" s="1" t="s">
        <v>1273</v>
      </c>
    </row>
    <row r="2" customHeight="1" spans="1:2">
      <c r="A2" s="2" t="s">
        <v>1274</v>
      </c>
      <c r="B2" s="3" t="s">
        <v>1275</v>
      </c>
    </row>
    <row r="3" customHeight="1" spans="1:2">
      <c r="A3" s="2" t="s">
        <v>1276</v>
      </c>
      <c r="B3" s="3" t="s">
        <v>1277</v>
      </c>
    </row>
    <row r="4" customHeight="1" spans="1:2">
      <c r="A4" s="2" t="s">
        <v>1278</v>
      </c>
      <c r="B4" s="3" t="s">
        <v>1279</v>
      </c>
    </row>
    <row r="5" customHeight="1" spans="1:2">
      <c r="A5" s="2" t="s">
        <v>1280</v>
      </c>
      <c r="B5" s="3" t="s">
        <v>1281</v>
      </c>
    </row>
    <row r="6" customHeight="1" spans="1:2">
      <c r="A6" s="2" t="s">
        <v>1282</v>
      </c>
      <c r="B6" s="3" t="s">
        <v>1283</v>
      </c>
    </row>
    <row r="7" customHeight="1" spans="1:2">
      <c r="A7" s="2" t="s">
        <v>1284</v>
      </c>
      <c r="B7" s="3" t="s">
        <v>1285</v>
      </c>
    </row>
    <row r="8" customHeight="1" spans="1:2">
      <c r="A8" s="2" t="s">
        <v>1286</v>
      </c>
      <c r="B8" s="3" t="s">
        <v>1287</v>
      </c>
    </row>
    <row r="9" customHeight="1" spans="1:2">
      <c r="A9" s="2" t="s">
        <v>1288</v>
      </c>
      <c r="B9" s="3" t="s">
        <v>1289</v>
      </c>
    </row>
    <row r="10" customHeight="1" spans="1:2">
      <c r="A10" s="2" t="s">
        <v>1290</v>
      </c>
      <c r="B10" s="3" t="s">
        <v>1291</v>
      </c>
    </row>
    <row r="11" customHeight="1" spans="1:2">
      <c r="A11" s="2" t="s">
        <v>1292</v>
      </c>
      <c r="B11" s="3" t="s">
        <v>1293</v>
      </c>
    </row>
  </sheetData>
  <autoFilter xmlns:etc="http://www.wps.cn/officeDocument/2017/etCustomData" ref="A1:B11" etc:filterBottomFollowUsedRange="0">
    <extLst/>
  </autoFilter>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Task Brief</vt:lpstr>
      <vt:lpstr>Applications</vt:lpstr>
      <vt:lpstr>Data Dictionary</vt:lpstr>
      <vt:lpstr>AI Use Log</vt:lpstr>
      <vt:lpstr>EMI_Calculations</vt:lpstr>
      <vt:lpstr>Rule_Testing</vt:lpstr>
      <vt:lpstr>Verification</vt:lpstr>
      <vt:lpstr>Rule_Comparison</vt:lpstr>
      <vt:lpstr>App_Testing</vt:lpstr>
      <vt:lpstr>Dashboard</vt:lpstr>
      <vt:lpstr>Policy_Summary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91701</cp:lastModifiedBy>
  <cp:revision>0</cp:revision>
  <dcterms:created xsi:type="dcterms:W3CDTF">2026-09-25T16:15:00Z</dcterms:created>
  <dcterms:modified xsi:type="dcterms:W3CDTF">2026-10-04T03:13:41Z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5CB31F2BFCFC489E9996ED687A881EB0_13</vt:lpwstr>
  </property>
  <property fmtid="{D5CDD505-2E9C-101B-9397-08002B2CF9AE}" pid="3" name="KSOProductBuildVer">
    <vt:lpwstr>1033-12.1.0.28485</vt:lpwstr>
  </property>
  <property fmtid="{D5CDD505-2E9C-101B-9397-08002B2CF9AE}" pid="4" name="CalculationRule">
    <vt:i4>0</vt:i4>
  </property>
</Properties>
</file>